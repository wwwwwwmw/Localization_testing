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Documents\"/>
    </mc:Choice>
  </mc:AlternateContent>
  <xr:revisionPtr revIDLastSave="0" documentId="13_ncr:1_{B0220C11-174A-4298-83F5-E910B6C82F51}" xr6:coauthVersionLast="47" xr6:coauthVersionMax="47" xr10:uidLastSave="{00000000-0000-0000-0000-000000000000}"/>
  <bookViews>
    <workbookView xWindow="-110" yWindow="-110" windowWidth="25820" windowHeight="15500" activeTab="4" xr2:uid="{B8891744-BF1A-4F43-AF5F-827B9606D4E5}"/>
  </bookViews>
  <sheets>
    <sheet name="Tổng quan" sheetId="1" r:id="rId1"/>
    <sheet name="Phương pháp kiểm thử" sheetId="2" r:id="rId2"/>
    <sheet name="Bảng quyết định" sheetId="3" r:id="rId3"/>
    <sheet name="Test case" sheetId="4" r:id="rId4"/>
    <sheet name="Báo cáo lỗi"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5" i="1" l="1"/>
  <c r="B44" i="1"/>
  <c r="B43" i="1"/>
  <c r="B42" i="1"/>
  <c r="B37" i="1"/>
  <c r="B35" i="1"/>
  <c r="B36" i="1"/>
  <c r="B38" i="1" s="1"/>
  <c r="B34" i="1"/>
  <c r="B46" i="1" l="1"/>
  <c r="C35" i="1"/>
  <c r="C36" i="1"/>
  <c r="C37" i="1"/>
</calcChain>
</file>

<file path=xl/sharedStrings.xml><?xml version="1.0" encoding="utf-8"?>
<sst xmlns="http://schemas.openxmlformats.org/spreadsheetml/2006/main" count="543" uniqueCount="395">
  <si>
    <t>Hạng mục</t>
  </si>
  <si>
    <t>Nội dung chi tiết</t>
  </si>
  <si>
    <t>Tên Dự Án</t>
  </si>
  <si>
    <t>Mô tả</t>
  </si>
  <si>
    <t>Tool tự động hóa kiểm thử đa ngôn ngữ cho website thương mại điện tử</t>
  </si>
  <si>
    <t>Framework</t>
  </si>
  <si>
    <t>Selenium WebDriver 4.16.1 (Java)</t>
  </si>
  <si>
    <t>Môi trường Test</t>
  </si>
  <si>
    <t>Google Chrome (Latest) - Managed by WebDriverManager</t>
  </si>
  <si>
    <t>Người thực hiện</t>
  </si>
  <si>
    <t>Ngày báo cáo</t>
  </si>
  <si>
    <t>1. THÔNG TIN DỰ ÁN</t>
  </si>
  <si>
    <t>2. PHẠM VI KIỂM THỬ</t>
  </si>
  <si>
    <t>Đối tượng</t>
  </si>
  <si>
    <t>Chi tiết phạm vi</t>
  </si>
  <si>
    <t>Ghi chú kỹ thuật</t>
  </si>
  <si>
    <t>Ngôn ngữ mục tiêu</t>
  </si>
  <si>
    <t>EN, VI, FR, AR</t>
  </si>
  <si>
    <t>Đại diện cho 4 nhóm: Latin Dot, Extended Latin, Comma Separator, RTL.</t>
  </si>
  <si>
    <t>Modules kiểm tra</t>
  </si>
  <si>
    <t>Phương pháp</t>
  </si>
  <si>
    <t>Equivalence Partitioning (EP)</t>
  </si>
  <si>
    <t>Boundary Value Analysis (BVA)</t>
  </si>
  <si>
    <t>Decision Table</t>
  </si>
  <si>
    <t>Áp dụng phân vùng nhóm ngôn ngữ và kiểm tra biên độ dài text (80 chars).</t>
  </si>
  <si>
    <t>3. TÓM TẮT KẾT QUẢ</t>
  </si>
  <si>
    <t>Metric (Chỉ số)</t>
  </si>
  <si>
    <t>Giá trị (Value)</t>
  </si>
  <si>
    <t>Trạng thái (Status)</t>
  </si>
  <si>
    <t>Tổng số Test Case</t>
  </si>
  <si>
    <t>Số Case PASS</t>
  </si>
  <si>
    <t>Số Case FAIL</t>
  </si>
  <si>
    <t>Đánh giá chung</t>
  </si>
  <si>
    <t>4. THỐNG KÊ LỖI THEO MỨC ĐỘ</t>
  </si>
  <si>
    <t>Mức độ lỗi (Severity)</t>
  </si>
  <si>
    <t>Số lượng (Count)</t>
  </si>
  <si>
    <t>Mô tả ngắn</t>
  </si>
  <si>
    <t>Critical</t>
  </si>
  <si>
    <t>Lỗi sai định dạng tiền tệ, vỡ layout nghiêm trọng</t>
  </si>
  <si>
    <t>High</t>
  </si>
  <si>
    <t>Lỗi tràn text (Overflow), mất nội dung</t>
  </si>
  <si>
    <t>Medium</t>
  </si>
  <si>
    <t>Lỗi chưa dịch (Untranslated), sai format ngày</t>
  </si>
  <si>
    <t>Low</t>
  </si>
  <si>
    <t>Lỗi căn lề nhỏ, sai font chữ</t>
  </si>
  <si>
    <r>
      <t xml:space="preserve">Code class tương ứng: </t>
    </r>
    <r>
      <rPr>
        <sz val="13"/>
        <color rgb="FF444746"/>
        <rFont val="Times New Roman"/>
        <family val="1"/>
      </rPr>
      <t>CurrencyChecker</t>
    </r>
    <r>
      <rPr>
        <sz val="13"/>
        <color rgb="FF1F1F1F"/>
        <rFont val="Times New Roman"/>
        <family val="1"/>
      </rPr>
      <t xml:space="preserve">, </t>
    </r>
    <r>
      <rPr>
        <sz val="13"/>
        <color rgb="FF444746"/>
        <rFont val="Times New Roman"/>
        <family val="1"/>
      </rPr>
      <t>DateChecker</t>
    </r>
    <r>
      <rPr>
        <sz val="13"/>
        <color rgb="FF1F1F1F"/>
        <rFont val="Times New Roman"/>
        <family val="1"/>
      </rPr>
      <t xml:space="preserve">, </t>
    </r>
    <r>
      <rPr>
        <sz val="13"/>
        <color rgb="FF444746"/>
        <rFont val="Times New Roman"/>
        <family val="1"/>
      </rPr>
      <t>TextChecker</t>
    </r>
    <r>
      <rPr>
        <sz val="13"/>
        <color rgb="FF1F1F1F"/>
        <rFont val="Times New Roman"/>
        <family val="1"/>
      </rPr>
      <t>.</t>
    </r>
  </si>
  <si>
    <t>EP_01</t>
  </si>
  <si>
    <t>EP_02</t>
  </si>
  <si>
    <t>EP_03</t>
  </si>
  <si>
    <t>EP_04</t>
  </si>
  <si>
    <t>BVA_01</t>
  </si>
  <si>
    <t>BVA_02</t>
  </si>
  <si>
    <t>BVA_03</t>
  </si>
  <si>
    <t>A. KỸ THUẬT PHÂN VÙNG TƯƠNG ĐƯƠNG</t>
  </si>
  <si>
    <t>Mã Nhóm (Group ID)</t>
  </si>
  <si>
    <t>Tên Phân Vùng (Partition Name)</t>
  </si>
  <si>
    <t>Ngôn ngữ đại diện (Input Data)</t>
  </si>
  <si>
    <t>Nhóm Đảo Chiều (RTL)</t>
  </si>
  <si>
    <t>• Viết từ Phải sang Trái (Right-to-Left).</t>
  </si>
  <si>
    <t>B. KỸ THUẬT PHÂN TÍCH GIÁ TRỊ BIÊN</t>
  </si>
  <si>
    <t>Mã Biên (Boundary ID)</t>
  </si>
  <si>
    <t>50 ký tự</t>
  </si>
  <si>
    <t>80 ký tự</t>
  </si>
  <si>
    <t>Tiếng Việt (vi)</t>
  </si>
  <si>
    <t>Đặc điểm kỹ thuật &amp; Lý do chọn</t>
  </si>
  <si>
    <t>Nhóm Chuẩn (Reference)</t>
  </si>
  <si>
    <t>• Ký tự Latin (A-Z).</t>
  </si>
  <si>
    <t>• Dấu thập phân: Chấm (.).</t>
  </si>
  <si>
    <t>• Tiền tệ: Prefix ($).</t>
  </si>
  <si>
    <t>Nhóm Châu Âu (Euro)</t>
  </si>
  <si>
    <t>• Ký tự Latin.</t>
  </si>
  <si>
    <t>• Dấu thập phân: Phẩy (,).</t>
  </si>
  <si>
    <t>• Phân cách nghìn: Khoảng trắng.</t>
  </si>
  <si>
    <t>• Tiền tệ: Suffix (€).</t>
  </si>
  <si>
    <t>Nhóm Mở Rộng (Extended)</t>
  </si>
  <si>
    <t>• Ký tự Latin có dấu (dễ lỗi font).</t>
  </si>
  <si>
    <t>• Độ dài văn bản dài nhất (Test giao diện).</t>
  </si>
  <si>
    <t>• Định dạng số: Ngược với tiếng Anh.</t>
  </si>
  <si>
    <t>• Yêu cầu lật ngược layout giao diện.</t>
  </si>
  <si>
    <t>Loại kiểm tra</t>
  </si>
  <si>
    <t>Giá trị Biên (Threshold)</t>
  </si>
  <si>
    <t>Mục tiêu kiểm thử</t>
  </si>
  <si>
    <t>Tràn Khung (Overflow)</t>
  </si>
  <si>
    <t>Tỷ lệ 1:1</t>
  </si>
  <si>
    <t>Kiểm tra nội dung có tràn ra khỏi khung chứa (Button/Menu) không.</t>
  </si>
  <si>
    <t>Cảnh báo độ dài</t>
  </si>
  <si>
    <t>Cảnh báo các Tiêu đề (Heading) quá dài.</t>
  </si>
  <si>
    <t>Lỗi độ dài (Error)</t>
  </si>
  <si>
    <t>Báo lỗi các Nút bấm (Button) có text dài &gt; 80 ký tự (Gây vỡ layout Mobile).</t>
  </si>
  <si>
    <t>C. DANH SÁCH TEST CASE ĐỀ XUẤT</t>
  </si>
  <si>
    <t>TC ID</t>
  </si>
  <si>
    <t>Mô tả Test Case</t>
  </si>
  <si>
    <t>Dữ liệu nhập (Input Data)</t>
  </si>
  <si>
    <t>Các bước thực hiện (Test Steps)</t>
  </si>
  <si>
    <t>Kết quả mong đợi (Expected Result)</t>
  </si>
  <si>
    <t>Kết quả thực tế (Actual)</t>
  </si>
  <si>
    <t>TC_LOC_01</t>
  </si>
  <si>
    <t>Kiểm tra định dạng tiền tệ Tiếng Pháp (EP_02)</t>
  </si>
  <si>
    <t>1. Chuyển ngữ sang Tiếng Pháp.</t>
  </si>
  <si>
    <t>2. Xem giá sản phẩm.</t>
  </si>
  <si>
    <t>TC_LOC_02</t>
  </si>
  <si>
    <t>Kiểm tra định dạng tiền tệ Tiếng Việt (EP_03)</t>
  </si>
  <si>
    <t>1. Chuyển ngữ sang Tiếng Việt.</t>
  </si>
  <si>
    <t>TC_LOC_03</t>
  </si>
  <si>
    <t>Kiểm tra định dạng Ngày tháng (FR &amp; VI)</t>
  </si>
  <si>
    <t>1. Tìm phần tử ngày tháng (Blog/Footer).</t>
  </si>
  <si>
    <t>2. Verify format.</t>
  </si>
  <si>
    <t>TC_LOC_04</t>
  </si>
  <si>
    <t>Kiểm tra lỗi tràn chữ (Overflow) trên giao diện Tiếng Việt</t>
  </si>
  <si>
    <t>- Check: Button/Menu</t>
  </si>
  <si>
    <t>1. Quét toàn bộ nút bấm và menu.</t>
  </si>
  <si>
    <t>2. So sánh độ rộng Text vs Khung chứa (Check biên BVA_01).</t>
  </si>
  <si>
    <t>Văn bản nằm gọn trong khung. Không bị cắt cụt (...) hoặc xuất hiện thanh cuộn ngang.</t>
  </si>
  <si>
    <t>TC_LOC_05</t>
  </si>
  <si>
    <t>Kiểm tra tính năng lật trang RTL (EP_04)</t>
  </si>
  <si>
    <t>1. Chuyển sang tiếng Ả Rập.</t>
  </si>
  <si>
    <t>3. Kiểm tra vị trí Menu/Logo.</t>
  </si>
  <si>
    <t>TC_LOC_06</t>
  </si>
  <si>
    <t>Kiểm tra từ khóa chưa dịch (Sót tiếng Anh)</t>
  </si>
  <si>
    <t>- List: "Sign in", "Cart"</t>
  </si>
  <si>
    <t>1. Duyệt trang chủ.</t>
  </si>
  <si>
    <t>2. Tìm các từ khóa tiếng Anh gốc.</t>
  </si>
  <si>
    <t>Không xuất hiện từ tiếng Anh (VD: Nút phải là "Connexion" thay vì "Sign in").</t>
  </si>
  <si>
    <r>
      <t xml:space="preserve">- Locale: </t>
    </r>
    <r>
      <rPr>
        <sz val="13"/>
        <color rgb="FF444746"/>
        <rFont val="Times New Roman"/>
        <family val="1"/>
      </rPr>
      <t>fr-FR</t>
    </r>
  </si>
  <si>
    <r>
      <t xml:space="preserve">Giá hiển thị đúng chuẩn Pháp: </t>
    </r>
    <r>
      <rPr>
        <sz val="13"/>
        <color rgb="FF444746"/>
        <rFont val="Times New Roman"/>
        <family val="1"/>
      </rPr>
      <t>1 234,56 €</t>
    </r>
    <r>
      <rPr>
        <sz val="13"/>
        <color rgb="FF1F1F1F"/>
        <rFont val="Times New Roman"/>
        <family val="1"/>
      </rPr>
      <t xml:space="preserve"> (Dấu phẩy, khoảng trắng, ký hiệu € ở cuối).</t>
    </r>
  </si>
  <si>
    <r>
      <t xml:space="preserve">- Giá trị: </t>
    </r>
    <r>
      <rPr>
        <sz val="13"/>
        <color rgb="FF444746"/>
        <rFont val="Times New Roman"/>
        <family val="1"/>
      </rPr>
      <t>1234.56</t>
    </r>
  </si>
  <si>
    <r>
      <t xml:space="preserve">- Locale: </t>
    </r>
    <r>
      <rPr>
        <sz val="13"/>
        <color rgb="FF444746"/>
        <rFont val="Times New Roman"/>
        <family val="1"/>
      </rPr>
      <t>vi-VN</t>
    </r>
  </si>
  <si>
    <r>
      <t xml:space="preserve">Giá hiển thị đúng chuẩn Việt: </t>
    </r>
    <r>
      <rPr>
        <sz val="13"/>
        <color rgb="FF444746"/>
        <rFont val="Times New Roman"/>
        <family val="1"/>
      </rPr>
      <t>1.234,56 ₫</t>
    </r>
    <r>
      <rPr>
        <sz val="13"/>
        <color rgb="FF1F1F1F"/>
        <rFont val="Times New Roman"/>
        <family val="1"/>
      </rPr>
      <t xml:space="preserve"> (Dấu phẩy thập phân, chấm hàng nghìn, ký hiệu ₫ ở cuối).</t>
    </r>
  </si>
  <si>
    <r>
      <t xml:space="preserve">- Locale: </t>
    </r>
    <r>
      <rPr>
        <sz val="13"/>
        <color rgb="FF444746"/>
        <rFont val="Times New Roman"/>
        <family val="1"/>
      </rPr>
      <t>fr-FR</t>
    </r>
    <r>
      <rPr>
        <sz val="13"/>
        <color rgb="FF1F1F1F"/>
        <rFont val="Times New Roman"/>
        <family val="1"/>
      </rPr>
      <t xml:space="preserve">, </t>
    </r>
    <r>
      <rPr>
        <sz val="13"/>
        <color rgb="FF444746"/>
        <rFont val="Times New Roman"/>
        <family val="1"/>
      </rPr>
      <t>vi-VN</t>
    </r>
  </si>
  <si>
    <r>
      <t xml:space="preserve">Hiển thị dạng </t>
    </r>
    <r>
      <rPr>
        <sz val="13"/>
        <color rgb="FF444746"/>
        <rFont val="Times New Roman"/>
        <family val="1"/>
      </rPr>
      <t>dd/MM/yyyy</t>
    </r>
    <r>
      <rPr>
        <sz val="13"/>
        <color rgb="FF1F1F1F"/>
        <rFont val="Times New Roman"/>
        <family val="1"/>
      </rPr>
      <t xml:space="preserve"> (31/12/2023). Tên tháng (nếu có) phải được dịch sang tiếng Pháp/Việt.</t>
    </r>
  </si>
  <si>
    <r>
      <t xml:space="preserve">- Date: </t>
    </r>
    <r>
      <rPr>
        <sz val="13"/>
        <color rgb="FF444746"/>
        <rFont val="Times New Roman"/>
        <family val="1"/>
      </rPr>
      <t>31/12/2023</t>
    </r>
  </si>
  <si>
    <r>
      <t xml:space="preserve">- Locale: </t>
    </r>
    <r>
      <rPr>
        <sz val="13"/>
        <color rgb="FF444746"/>
        <rFont val="Times New Roman"/>
        <family val="1"/>
      </rPr>
      <t>vi-VN</t>
    </r>
    <r>
      <rPr>
        <sz val="13"/>
        <color rgb="FF1F1F1F"/>
        <rFont val="Times New Roman"/>
        <family val="1"/>
      </rPr>
      <t xml:space="preserve"> (Text dài)</t>
    </r>
  </si>
  <si>
    <r>
      <t xml:space="preserve">- Locale: </t>
    </r>
    <r>
      <rPr>
        <sz val="13"/>
        <color rgb="FF444746"/>
        <rFont val="Times New Roman"/>
        <family val="1"/>
      </rPr>
      <t>ar-SA</t>
    </r>
    <r>
      <rPr>
        <sz val="13"/>
        <color rgb="FF1F1F1F"/>
        <rFont val="Times New Roman"/>
        <family val="1"/>
      </rPr>
      <t xml:space="preserve"> (Arabic)</t>
    </r>
  </si>
  <si>
    <r>
      <t xml:space="preserve">Thẻ HTML có </t>
    </r>
    <r>
      <rPr>
        <sz val="13"/>
        <color rgb="FF444746"/>
        <rFont val="Times New Roman"/>
        <family val="1"/>
      </rPr>
      <t>dir="rtl"</t>
    </r>
    <r>
      <rPr>
        <sz val="13"/>
        <color rgb="FF1F1F1F"/>
        <rFont val="Times New Roman"/>
        <family val="1"/>
      </rPr>
      <t>. Giao diện lật ngược (Menu chuyển từ Trái sang Phải). Text căn phải.</t>
    </r>
  </si>
  <si>
    <r>
      <t xml:space="preserve">2. Kiểm tra thuộc tính HTML </t>
    </r>
    <r>
      <rPr>
        <sz val="13"/>
        <color rgb="FF444746"/>
        <rFont val="Times New Roman"/>
        <family val="1"/>
      </rPr>
      <t>dir</t>
    </r>
    <r>
      <rPr>
        <sz val="13"/>
        <color rgb="FF1F1F1F"/>
        <rFont val="Times New Roman"/>
        <family val="1"/>
      </rPr>
      <t>.</t>
    </r>
  </si>
  <si>
    <r>
      <t xml:space="preserve">- Locale: </t>
    </r>
    <r>
      <rPr>
        <sz val="13"/>
        <color rgb="FF444746"/>
        <rFont val="Times New Roman"/>
        <family val="1"/>
      </rPr>
      <t>fr-FR</t>
    </r>
    <r>
      <rPr>
        <sz val="13"/>
        <color rgb="FF1F1F1F"/>
        <rFont val="Times New Roman"/>
        <family val="1"/>
      </rPr>
      <t xml:space="preserve">, </t>
    </r>
    <r>
      <rPr>
        <sz val="13"/>
        <color rgb="FF444746"/>
        <rFont val="Times New Roman"/>
        <family val="1"/>
      </rPr>
      <t>vi-VN</t>
    </r>
    <r>
      <rPr>
        <sz val="13"/>
        <color rgb="FF1F1F1F"/>
        <rFont val="Times New Roman"/>
        <family val="1"/>
      </rPr>
      <t xml:space="preserve">, </t>
    </r>
    <r>
      <rPr>
        <sz val="13"/>
        <color rgb="FF444746"/>
        <rFont val="Times New Roman"/>
        <family val="1"/>
      </rPr>
      <t>ar-SA</t>
    </r>
  </si>
  <si>
    <r>
      <t>Tiếng Anh (</t>
    </r>
    <r>
      <rPr>
        <sz val="13"/>
        <color rgb="FF444746"/>
        <rFont val="Times New Roman"/>
        <family val="1"/>
      </rPr>
      <t>en-US</t>
    </r>
    <r>
      <rPr>
        <sz val="13"/>
        <color rgb="FF1F1F1F"/>
        <rFont val="Times New Roman"/>
        <family val="1"/>
      </rPr>
      <t>)</t>
    </r>
  </si>
  <si>
    <r>
      <t>Tiếng Pháp (</t>
    </r>
    <r>
      <rPr>
        <sz val="13"/>
        <color rgb="FF444746"/>
        <rFont val="Times New Roman"/>
        <family val="1"/>
      </rPr>
      <t>fr-FR</t>
    </r>
    <r>
      <rPr>
        <sz val="13"/>
        <color rgb="FF1F1F1F"/>
        <rFont val="Times New Roman"/>
        <family val="1"/>
      </rPr>
      <t>)</t>
    </r>
  </si>
  <si>
    <r>
      <t>Tiếng Việt (</t>
    </r>
    <r>
      <rPr>
        <sz val="13"/>
        <color rgb="FF444746"/>
        <rFont val="Times New Roman"/>
        <family val="1"/>
      </rPr>
      <t>vi-VN</t>
    </r>
    <r>
      <rPr>
        <sz val="13"/>
        <color rgb="FF1F1F1F"/>
        <rFont val="Times New Roman"/>
        <family val="1"/>
      </rPr>
      <t>)</t>
    </r>
  </si>
  <si>
    <r>
      <t>Tiếng Ả Rập (</t>
    </r>
    <r>
      <rPr>
        <sz val="13"/>
        <color rgb="FF444746"/>
        <rFont val="Times New Roman"/>
        <family val="1"/>
      </rPr>
      <t>ar-SA</t>
    </r>
    <r>
      <rPr>
        <sz val="13"/>
        <color rgb="FF1F1F1F"/>
        <rFont val="Times New Roman"/>
        <family val="1"/>
      </rPr>
      <t>)</t>
    </r>
  </si>
  <si>
    <t>Chiến lược: Chia các ngôn ngữ cần test thành 4 nhóm đại diện dựa trên đặc điểm kỹ thuật để đảm bảo độ bao phủ.</t>
  </si>
  <si>
    <t>Chiến lược: Thiết lập ngưỡng độ dài văn bản để phát hiện lỗi vỡ giao diện (UI Breakage).</t>
  </si>
  <si>
    <t>A. CÁC QUY TẮC NGHIỆP VỤ</t>
  </si>
  <si>
    <t>Chúng ta định nghĩa 4 Quy tắc (Rules) tương ứng với 4 nhóm ngôn ngữ đã chọn.</t>
  </si>
  <si>
    <t>Mã Quy Tắc (Rule ID)</t>
  </si>
  <si>
    <t>Điều Kiện Đầu Vào (Input Condition)</t>
  </si>
  <si>
    <t>Loại Dữ Liệu (Data Type)</t>
  </si>
  <si>
    <t>Logic Định Dạng Mong Đợi (Expected Logic)</t>
  </si>
  <si>
    <t>Ví Dụ Minh Họa (Example)</t>
  </si>
  <si>
    <t>RULE_01</t>
  </si>
  <si>
    <t>Tiền Tệ (Currency)</t>
  </si>
  <si>
    <t>Ngày Tháng (Date)</t>
  </si>
  <si>
    <t>Hướng (Direction)</t>
  </si>
  <si>
    <t>• LTR (Trái sang Phải)</t>
  </si>
  <si>
    <t>RULE_02</t>
  </si>
  <si>
    <t>1 234,56 €</t>
  </si>
  <si>
    <t>31/12/2023</t>
  </si>
  <si>
    <t>RULE_03</t>
  </si>
  <si>
    <t>1.234,56 ₫</t>
  </si>
  <si>
    <t>RULE_04</t>
  </si>
  <si>
    <t>Giao diện (Layout)</t>
  </si>
  <si>
    <t>Menu nằm bên phải</t>
  </si>
  <si>
    <t>B. DANH SÁCH TEST CASE LOGIC</t>
  </si>
  <si>
    <t>Quy Tắc Áp Dụng (Rule Ref)</t>
  </si>
  <si>
    <t>TC_LOGIC_01</t>
  </si>
  <si>
    <t>Kiểm tra logic hiển thị tiền tệ chuẩn Mỹ (English)</t>
  </si>
  <si>
    <t>2. Kiểm tra giá tiền trên trang Product.</t>
  </si>
  <si>
    <t>TC_LOGIC_02</t>
  </si>
  <si>
    <t>Kiểm tra logic hiển thị tiền tệ chuẩn Châu Âu (French)</t>
  </si>
  <si>
    <t>2. Kiểm tra giá tiền.</t>
  </si>
  <si>
    <t>TC_LOGIC_03</t>
  </si>
  <si>
    <t>Kiểm tra logic hiển thị tiền tệ chuẩn Việt Nam</t>
  </si>
  <si>
    <t>TC_LOGIC_04</t>
  </si>
  <si>
    <t>RULE_01 vs RULE_03</t>
  </si>
  <si>
    <t>So sánh logic Ngày tháng giữa EN và VI</t>
  </si>
  <si>
    <t>1. Check ngày trên trang EN.</t>
  </si>
  <si>
    <t>2. Check ngày trên trang VI.</t>
  </si>
  <si>
    <t>(Logic đảo ngược ngày/tháng phải đúng).</t>
  </si>
  <si>
    <t>TC_LOGIC_05</t>
  </si>
  <si>
    <t>Kiểm tra logic lật trang RTL (Layout Mirroring)</t>
  </si>
  <si>
    <r>
      <t xml:space="preserve">- Locale: </t>
    </r>
    <r>
      <rPr>
        <sz val="13"/>
        <color rgb="FF444746"/>
        <rFont val="Times New Roman"/>
        <family val="1"/>
      </rPr>
      <t>en-US</t>
    </r>
  </si>
  <si>
    <r>
      <t xml:space="preserve">1. Chuyển ngôn ngữ sang </t>
    </r>
    <r>
      <rPr>
        <sz val="13"/>
        <color rgb="FF444746"/>
        <rFont val="Times New Roman"/>
        <family val="1"/>
      </rPr>
      <t>en</t>
    </r>
    <r>
      <rPr>
        <sz val="13"/>
        <color rgb="FF1F1F1F"/>
        <rFont val="Times New Roman"/>
        <family val="1"/>
      </rPr>
      <t>.</t>
    </r>
  </si>
  <si>
    <r>
      <t xml:space="preserve">Giá hiển thị phải có dấu </t>
    </r>
    <r>
      <rPr>
        <sz val="13"/>
        <color rgb="FF444746"/>
        <rFont val="Times New Roman"/>
        <family val="1"/>
      </rPr>
      <t>$</t>
    </r>
    <r>
      <rPr>
        <sz val="13"/>
        <color rgb="FF1F1F1F"/>
        <rFont val="Times New Roman"/>
        <family val="1"/>
      </rPr>
      <t xml:space="preserve"> ở đầu và dấu chấm </t>
    </r>
    <r>
      <rPr>
        <sz val="13"/>
        <color rgb="FF444746"/>
        <rFont val="Times New Roman"/>
        <family val="1"/>
      </rPr>
      <t>.</t>
    </r>
    <r>
      <rPr>
        <sz val="13"/>
        <color rgb="FF1F1F1F"/>
        <rFont val="Times New Roman"/>
        <family val="1"/>
      </rPr>
      <t xml:space="preserve"> phân cách thập phân.</t>
    </r>
  </si>
  <si>
    <r>
      <t xml:space="preserve">- Giá: </t>
    </r>
    <r>
      <rPr>
        <sz val="13"/>
        <color rgb="FF444746"/>
        <rFont val="Times New Roman"/>
        <family val="1"/>
      </rPr>
      <t>1234.56</t>
    </r>
  </si>
  <si>
    <r>
      <t xml:space="preserve">1. Chuyển ngôn ngữ sang </t>
    </r>
    <r>
      <rPr>
        <sz val="13"/>
        <color rgb="FF444746"/>
        <rFont val="Times New Roman"/>
        <family val="1"/>
      </rPr>
      <t>fr</t>
    </r>
    <r>
      <rPr>
        <sz val="13"/>
        <color rgb="FF1F1F1F"/>
        <rFont val="Times New Roman"/>
        <family val="1"/>
      </rPr>
      <t>.</t>
    </r>
  </si>
  <si>
    <r>
      <t xml:space="preserve">Giá hiển thị phải có dấu </t>
    </r>
    <r>
      <rPr>
        <sz val="13"/>
        <color rgb="FF444746"/>
        <rFont val="Times New Roman"/>
        <family val="1"/>
      </rPr>
      <t>€</t>
    </r>
    <r>
      <rPr>
        <sz val="13"/>
        <color rgb="FF1F1F1F"/>
        <rFont val="Times New Roman"/>
        <family val="1"/>
      </rPr>
      <t xml:space="preserve"> ở cuối và dấu phẩy </t>
    </r>
    <r>
      <rPr>
        <sz val="13"/>
        <color rgb="FF444746"/>
        <rFont val="Times New Roman"/>
        <family val="1"/>
      </rPr>
      <t>,</t>
    </r>
    <r>
      <rPr>
        <sz val="13"/>
        <color rgb="FF1F1F1F"/>
        <rFont val="Times New Roman"/>
        <family val="1"/>
      </rPr>
      <t xml:space="preserve"> phân cách thập phân.</t>
    </r>
  </si>
  <si>
    <r>
      <t xml:space="preserve">1. Chuyển ngôn ngữ sang </t>
    </r>
    <r>
      <rPr>
        <sz val="13"/>
        <color rgb="FF444746"/>
        <rFont val="Times New Roman"/>
        <family val="1"/>
      </rPr>
      <t>vi</t>
    </r>
    <r>
      <rPr>
        <sz val="13"/>
        <color rgb="FF1F1F1F"/>
        <rFont val="Times New Roman"/>
        <family val="1"/>
      </rPr>
      <t>.</t>
    </r>
  </si>
  <si>
    <r>
      <t xml:space="preserve">Giá hiển thị: </t>
    </r>
    <r>
      <rPr>
        <sz val="13"/>
        <color rgb="FF444746"/>
        <rFont val="Times New Roman"/>
        <family val="1"/>
      </rPr>
      <t>1.234,56 ₫</t>
    </r>
    <r>
      <rPr>
        <sz val="13"/>
        <color rgb="FF1F1F1F"/>
        <rFont val="Times New Roman"/>
        <family val="1"/>
      </rPr>
      <t xml:space="preserve"> (Lưu ý dấu chấm hàng nghìn ngược với tiếng Anh).</t>
    </r>
  </si>
  <si>
    <r>
      <t xml:space="preserve">- EN: </t>
    </r>
    <r>
      <rPr>
        <sz val="13"/>
        <color rgb="FF444746"/>
        <rFont val="Times New Roman"/>
        <family val="1"/>
      </rPr>
      <t>12/31/2023</t>
    </r>
  </si>
  <si>
    <r>
      <t xml:space="preserve">- VI: </t>
    </r>
    <r>
      <rPr>
        <sz val="13"/>
        <color rgb="FF444746"/>
        <rFont val="Times New Roman"/>
        <family val="1"/>
      </rPr>
      <t>31/12/2023</t>
    </r>
  </si>
  <si>
    <r>
      <t xml:space="preserve">- Locale: </t>
    </r>
    <r>
      <rPr>
        <sz val="13"/>
        <color rgb="FF444746"/>
        <rFont val="Times New Roman"/>
        <family val="1"/>
      </rPr>
      <t>ar-SA</t>
    </r>
  </si>
  <si>
    <r>
      <t xml:space="preserve">1. Inspect phần tử </t>
    </r>
    <r>
      <rPr>
        <sz val="13"/>
        <color rgb="FF444746"/>
        <rFont val="Times New Roman"/>
        <family val="1"/>
      </rPr>
      <t>&lt;html&gt;</t>
    </r>
    <r>
      <rPr>
        <sz val="13"/>
        <color rgb="FF1F1F1F"/>
        <rFont val="Times New Roman"/>
        <family val="1"/>
      </rPr>
      <t>.</t>
    </r>
  </si>
  <si>
    <r>
      <t xml:space="preserve">Thẻ </t>
    </r>
    <r>
      <rPr>
        <sz val="13"/>
        <color rgb="FF444746"/>
        <rFont val="Times New Roman"/>
        <family val="1"/>
      </rPr>
      <t>&lt;html&gt;</t>
    </r>
    <r>
      <rPr>
        <sz val="13"/>
        <color rgb="FF1F1F1F"/>
        <rFont val="Times New Roman"/>
        <family val="1"/>
      </rPr>
      <t xml:space="preserve"> phải có attribute </t>
    </r>
    <r>
      <rPr>
        <sz val="13"/>
        <color rgb="FF444746"/>
        <rFont val="Times New Roman"/>
        <family val="1"/>
      </rPr>
      <t>dir="rtl"</t>
    </r>
    <r>
      <rPr>
        <sz val="13"/>
        <color rgb="FF1F1F1F"/>
        <rFont val="Times New Roman"/>
        <family val="1"/>
      </rPr>
      <t>. Văn bản phải căn lề phải.</t>
    </r>
  </si>
  <si>
    <r>
      <t xml:space="preserve">2. Check CSS </t>
    </r>
    <r>
      <rPr>
        <sz val="13"/>
        <color rgb="FF444746"/>
        <rFont val="Times New Roman"/>
        <family val="1"/>
      </rPr>
      <t>text-align</t>
    </r>
    <r>
      <rPr>
        <sz val="13"/>
        <color rgb="FF1F1F1F"/>
        <rFont val="Times New Roman"/>
        <family val="1"/>
      </rPr>
      <t>.</t>
    </r>
  </si>
  <si>
    <t>• Dấu phân cách thập phân: Chấm (.)</t>
  </si>
  <si>
    <t>• Vị trí ký hiệu: Tiền tố (Prefix)</t>
  </si>
  <si>
    <t>• Định dạng: Tháng/Ngày/Năm (MM/dd/yyyy)</t>
  </si>
  <si>
    <t>• Dấu phân cách thập phân: Phẩy (,)</t>
  </si>
  <si>
    <t>• Vị trí ký hiệu: Hậu tố (Suffix)</t>
  </si>
  <si>
    <t>• Định dạng: Ngày/Tháng/Năm (dd/MM/yyyy)</t>
  </si>
  <si>
    <t>• Dấu phân cách ngàn: Chấm (.)</t>
  </si>
  <si>
    <t>• Căn lề văn bản: Phải (Right)</t>
  </si>
  <si>
    <r>
      <t>Ngôn ngữ: English (</t>
    </r>
    <r>
      <rPr>
        <sz val="13"/>
        <color rgb="FF444746"/>
        <rFont val="Times New Roman"/>
        <family val="1"/>
      </rPr>
      <t>en</t>
    </r>
    <r>
      <rPr>
        <sz val="13"/>
        <color rgb="FF1F1F1F"/>
        <rFont val="Times New Roman"/>
        <family val="1"/>
      </rPr>
      <t>)</t>
    </r>
  </si>
  <si>
    <r>
      <t>Ngôn ngữ: Tiếng Pháp (</t>
    </r>
    <r>
      <rPr>
        <sz val="13"/>
        <color rgb="FF444746"/>
        <rFont val="Times New Roman"/>
        <family val="1"/>
      </rPr>
      <t>fr</t>
    </r>
    <r>
      <rPr>
        <sz val="13"/>
        <color rgb="FF1F1F1F"/>
        <rFont val="Times New Roman"/>
        <family val="1"/>
      </rPr>
      <t>)</t>
    </r>
  </si>
  <si>
    <r>
      <t>Ngôn ngữ: Tiếng Việt (</t>
    </r>
    <r>
      <rPr>
        <sz val="13"/>
        <color rgb="FF444746"/>
        <rFont val="Times New Roman"/>
        <family val="1"/>
      </rPr>
      <t>vi</t>
    </r>
    <r>
      <rPr>
        <sz val="13"/>
        <color rgb="FF1F1F1F"/>
        <rFont val="Times New Roman"/>
        <family val="1"/>
      </rPr>
      <t>)</t>
    </r>
  </si>
  <si>
    <r>
      <t>Ngôn ngữ: Tiếng Ả Rập (</t>
    </r>
    <r>
      <rPr>
        <sz val="13"/>
        <color rgb="FF444746"/>
        <rFont val="Times New Roman"/>
        <family val="1"/>
      </rPr>
      <t>ar</t>
    </r>
    <r>
      <rPr>
        <sz val="13"/>
        <color rgb="FF1F1F1F"/>
        <rFont val="Times New Roman"/>
        <family val="1"/>
      </rPr>
      <t>)</t>
    </r>
  </si>
  <si>
    <r>
      <t xml:space="preserve">• Thuộc tính HTML: </t>
    </r>
    <r>
      <rPr>
        <sz val="13"/>
        <color rgb="FF444746"/>
        <rFont val="Times New Roman"/>
        <family val="1"/>
      </rPr>
      <t>dir="rtl"</t>
    </r>
  </si>
  <si>
    <t>FAIL</t>
  </si>
  <si>
    <t>PASS</t>
  </si>
  <si>
    <t>Ngôn ngữ</t>
  </si>
  <si>
    <t>Kết quả mong đợi</t>
  </si>
  <si>
    <t>Layout Direction</t>
  </si>
  <si>
    <t>Môi trường kiểm thử (Lấy từ Log):</t>
  </si>
  <si>
    <t>Bug ID</t>
  </si>
  <si>
    <t xml:space="preserve">PrestaShop Localization </t>
  </si>
  <si>
    <t>1. Currency (Tiền tệ)</t>
  </si>
  <si>
    <t>2. Date (Ngày tháng)</t>
  </si>
  <si>
    <t>3. UI (Giao diện &amp; Layout)</t>
  </si>
  <si>
    <t>4. Content (Nội dung &amp; Dịch thuật)</t>
  </si>
  <si>
    <t>5. Charset (Font &amp; Encoding)</t>
  </si>
  <si>
    <t>6. Func (Chức năng cơ bản)</t>
  </si>
  <si>
    <t>Test Suite:</t>
  </si>
  <si>
    <t>org.example.LocalizationTestV2</t>
  </si>
  <si>
    <t>Total Duration:</t>
  </si>
  <si>
    <t>1 min 20 sec</t>
  </si>
  <si>
    <t>Test Framework:</t>
  </si>
  <si>
    <t>JUnit 5 + Selenium</t>
  </si>
  <si>
    <t>DETAILED TEST EXECUTION RESULTS</t>
  </si>
  <si>
    <t>#</t>
  </si>
  <si>
    <t>Test Name</t>
  </si>
  <si>
    <t>Language</t>
  </si>
  <si>
    <t>Status</t>
  </si>
  <si>
    <t>Duration</t>
  </si>
  <si>
    <t>Expected Result</t>
  </si>
  <si>
    <t>Actual Result</t>
  </si>
  <si>
    <t>Error Message</t>
  </si>
  <si>
    <t>Notes</t>
  </si>
  <si>
    <t>TEST 01: Currency Format</t>
  </si>
  <si>
    <t>English (en)</t>
  </si>
  <si>
    <t>37 sec 20 ms</t>
  </si>
  <si>
    <t>Symbol: '$', Position: PREFIX, Decimal: '.'</t>
  </si>
  <si>
    <t>Currency format sai cho English: Symbol sai (expected '$', found '€')</t>
  </si>
  <si>
    <t>Français (fr)</t>
  </si>
  <si>
    <t>4 sec 209 ms</t>
  </si>
  <si>
    <t>Symbol: '€', Position: SUFFIX, Decimal: ','</t>
  </si>
  <si>
    <t>3 sec 894 ms</t>
  </si>
  <si>
    <t>Symbol: '₫', Position: SUFFIX, Decimal: ','</t>
  </si>
  <si>
    <t>Currency format sai cho Tiếng Việt: Symbol sai (expected '₫', found '€')</t>
  </si>
  <si>
    <t>العربية (ar)</t>
  </si>
  <si>
    <t>3 sec 730 ms</t>
  </si>
  <si>
    <t>Symbol: 'ر.س', Position: SUFFIX, Decimal: '.'</t>
  </si>
  <si>
    <t>Currency format sai cho العربية: Symbol sai (expected 'ر.س', found '€')</t>
  </si>
  <si>
    <t>TEST 02: Date Format</t>
  </si>
  <si>
    <t>IGNORED</t>
  </si>
  <si>
    <t>1 sec 617 ms</t>
  </si>
  <si>
    <t>Pattern: MM/dd/yyyy</t>
  </si>
  <si>
    <t>1 sec 631 ms</t>
  </si>
  <si>
    <t>Pattern: dd/MM/yyyy</t>
  </si>
  <si>
    <t>1 sec 611 ms</t>
  </si>
  <si>
    <t>1 sec 523 ms</t>
  </si>
  <si>
    <t>TEST 03: Layout Direction</t>
  </si>
  <si>
    <t>1 sec 609 ms</t>
  </si>
  <si>
    <t>CSS direction: ltr</t>
  </si>
  <si>
    <t>1 sec 581 ms</t>
  </si>
  <si>
    <t>1 sec 583 ms</t>
  </si>
  <si>
    <t>1 sec 582 ms</t>
  </si>
  <si>
    <t>CSS direction: ltr, &lt;html dir&gt;: NOT SET</t>
  </si>
  <si>
    <t>Ngôn ngữ RTL (العربية) PHẢI có dir='rtl'!</t>
  </si>
  <si>
    <t>TEST 04: Text Overflow Detection</t>
  </si>
  <si>
    <t>1 sec 714 ms</t>
  </si>
  <si>
    <t>0 overflows, 0 truncations</t>
  </si>
  <si>
    <t>1 sec 694 ms</t>
  </si>
  <si>
    <t>1 sec 699 ms</t>
  </si>
  <si>
    <t>TEST 05: Untranslated Text</t>
  </si>
  <si>
    <t>0 ms</t>
  </si>
  <si>
    <t>1 sec 596 ms</t>
  </si>
  <si>
    <t>1 sec 584 ms</t>
  </si>
  <si>
    <t>Tìm thấy 2 từ tiếng Anh chưa dịch (tối đa cho phép: 1)</t>
  </si>
  <si>
    <t>1 sec 588 ms</t>
  </si>
  <si>
    <t>Tìm thấy 3 từ tiếng Anh chưa dịch (tối đa cho phép: 1)</t>
  </si>
  <si>
    <t>TEST 06: Character Encoding</t>
  </si>
  <si>
    <t>1 sec 586 ms</t>
  </si>
  <si>
    <t>1 sec 578 ms</t>
  </si>
  <si>
    <t>BUG REPORT - FROM AUTOMATED TESTING</t>
  </si>
  <si>
    <t>Test ID</t>
  </si>
  <si>
    <t>BUG-LOC-001</t>
  </si>
  <si>
    <t>TC-AUTO-01-EN</t>
  </si>
  <si>
    <t>Currency Format</t>
  </si>
  <si>
    <t>BUG-LOC-002</t>
  </si>
  <si>
    <t>TC-AUTO-01-VI</t>
  </si>
  <si>
    <t>BUG-LOC-003</t>
  </si>
  <si>
    <t>TC-AUTO-01-AR</t>
  </si>
  <si>
    <t>Currency symbol incorrect: found '€' instead of 'ر.س'</t>
  </si>
  <si>
    <t>Prices display:
• 22.94 €
• 34.46 €
• 34.80 €
• 14.28 €
Decimal format is correct but currency is wrong.</t>
  </si>
  <si>
    <t>BUG-LOC-004</t>
  </si>
  <si>
    <t>TC-AUTO-03-AR</t>
  </si>
  <si>
    <t>BUG-LOC-005</t>
  </si>
  <si>
    <t>TC-AUTO-05-VI</t>
  </si>
  <si>
    <t>Translation Coverage</t>
  </si>
  <si>
    <t>BUG-LOC-006</t>
  </si>
  <si>
    <t>TC-AUTO-05-AR</t>
  </si>
  <si>
    <t>Số Case IGNORED</t>
  </si>
  <si>
    <t>TỔNG SỐ BUG</t>
  </si>
  <si>
    <r>
      <t>OS:</t>
    </r>
    <r>
      <rPr>
        <sz val="13"/>
        <color theme="1"/>
        <rFont val="Times New Roman"/>
        <family val="1"/>
      </rPr>
      <t xml:space="preserve"> Windows 11 (64-bit)</t>
    </r>
  </si>
  <si>
    <r>
      <t>Browser:</t>
    </r>
    <r>
      <rPr>
        <sz val="13"/>
        <color theme="1"/>
        <rFont val="Times New Roman"/>
        <family val="1"/>
      </rPr>
      <t xml:space="preserve"> Google Chrome (Version 144.0.7559.110)</t>
    </r>
  </si>
  <si>
    <r>
      <t>Automation Framework:</t>
    </r>
    <r>
      <rPr>
        <sz val="13"/>
        <color theme="1"/>
        <rFont val="Times New Roman"/>
        <family val="1"/>
      </rPr>
      <t xml:space="preserve"> Selenium WebDriver + JUnit 5</t>
    </r>
  </si>
  <si>
    <r>
      <t>Ngày báo cáo:</t>
    </r>
    <r>
      <rPr>
        <sz val="13"/>
        <color theme="1"/>
        <rFont val="Times New Roman"/>
        <family val="1"/>
      </rPr>
      <t xml:space="preserve"> 02/02/2026</t>
    </r>
  </si>
  <si>
    <t>Test case</t>
  </si>
  <si>
    <t>Kết quả thực tế</t>
  </si>
  <si>
    <t>Trang danh sách sản phẩm không hiển thị ngày</t>
  </si>
  <si>
    <t>Bố cục LTR đúng</t>
  </si>
  <si>
    <t>Bản dịch chấp nhận được cho bản demo</t>
  </si>
  <si>
    <t>Các danh mục chính chưa được dịch</t>
  </si>
  <si>
    <t>Bản demo PrestaShop sử dụng EUR toàn cầu</t>
  </si>
  <si>
    <t>Đã kiểm tra thành công cả 4 giá tiền</t>
  </si>
  <si>
    <t>Dấu phân cách thập phân đúng, chỉ sai ký hiệu tiền</t>
  </si>
  <si>
    <t>Không tìm thấy ngày để kiểm tra</t>
  </si>
  <si>
    <t>TestAbortedException: Không tìm thấy ngày để kiểm tra</t>
  </si>
  <si>
    <t>Toàn bộ giao diện sai cho tiếng Ả Rập</t>
  </si>
  <si>
    <t>Không có tràn văn bản hoặc cắt xén</t>
  </si>
  <si>
    <t>Tất cả phần tử UI đều hiển thị đúng kích thước</t>
  </si>
  <si>
    <t>Direction: RTL, yêu cầu</t>
  </si>
  <si>
    <t>Direction: LTR, không cần thuộc tính dir</t>
  </si>
  <si>
    <t>N/A - English là ngôn ngữ nguồn</t>
  </si>
  <si>
    <t>Test ignore</t>
  </si>
  <si>
    <t>Không cần kiểm tra bản dịch</t>
  </si>
  <si>
    <t>Tối đa 1 từ chưa dịch, độ bao phủ ≥ 20%</t>
  </si>
  <si>
    <t>0 từ chưa dịch, độ bao phủ 30%</t>
  </si>
  <si>
    <t>2 từ chưa dịch: About us, Terms and conditions. Độ bao phủ: 30%</t>
  </si>
  <si>
    <t>3 từ chưa dịch: About us, Clothes, Accessories. Độ bao phủ: 20%</t>
  </si>
  <si>
    <t>Footer chưa được dịch</t>
  </si>
  <si>
    <t>Chữ Latin, không lỗi mã hóa</t>
  </si>
  <si>
    <t>Các ký tự mong đợi hiển thị đúng, 0 lỗi</t>
  </si>
  <si>
    <t>Chữ Latin có dấu: é, è, ê, à, ç</t>
  </si>
  <si>
    <t>Chữ Latin có dấu tiếng Việt</t>
  </si>
  <si>
    <t>Chữ Ả Rập: ابتثجحخ</t>
  </si>
  <si>
    <t>Tất cả ký tự hiển thị đúng</t>
  </si>
  <si>
    <t>Dấu tiếng Pháp hiển thị đúng</t>
  </si>
  <si>
    <t>Dấu tiếng Việt hiển thị đúng</t>
  </si>
  <si>
    <t>Ký tự Ả Rập hiển thị đúng</t>
  </si>
  <si>
    <t>Mức độ nghiêm trọng</t>
  </si>
  <si>
    <t>Danh mục Test</t>
  </si>
  <si>
    <t>Tóm tắt lỗi</t>
  </si>
  <si>
    <t>Mô tả chi tiết</t>
  </si>
  <si>
    <t>Điều kiện tiên quyết</t>
  </si>
  <si>
    <t>Các bước tái hiện</t>
  </si>
  <si>
    <t>Phân tích nguyên nhân gốc</t>
  </si>
  <si>
    <t>Đề xuất sửa chữa</t>
  </si>
  <si>
    <t>Người báo cáo</t>
  </si>
  <si>
    <t>Lê Trí Anh</t>
  </si>
  <si>
    <t>Ký hiệu tiền tệ sai: hiển thị '€' thay vì '$'</t>
  </si>
  <si>
    <t>Test tự động thất bại với English. Mong đợi ký hiệu '$' (USD) nhưng tất cả giá tiền đều hiển thị '€' (EUR).</t>
  </si>
  <si>
    <t>• Môi trường PrestaShop Demo
• Ngôn ngữ English (en)
• Kiểm tra trên trang danh sách sản phẩm</t>
  </si>
  <si>
    <t>1. Truy cập site demo PrestaShop
2. Chuyển ngôn ngữ sang English
3. Xác nhận chuyển ngôn ngữ thành công
4. Tìm các phần tử giá bằng CSS (.price, .product-price, .current-price)
5. Trích xuất text giá
6. Kiểm tra ký hiệu tiền tệ</t>
  </si>
  <si>
    <t>Ký hiệu: '$'
Vị trí: PREFIX
Dấu thập phân: '.'
Ví dụ: $22.94, $34.46</t>
  </si>
  <si>
    <t>Tất cả giá hiển thị ký hiệu Euro:
• €22.94
• €34.46
• €34.80
• €14.28</t>
  </si>
  <si>
    <t>Ký hiệu tiền tệ sai: hiển thị '€' thay vì '₫'</t>
  </si>
  <si>
    <t>Test thất bại với bản địa hóa Tiếng Việt. Người dùng Việt Nam mong đợi giá bằng Đồng Việt Nam (₫).</t>
  </si>
  <si>
    <t>• Môi trường PrestaShop Demo
• Ngôn ngữ Tiếng Việt (vi-VN)
• Kiểm tra trên các trang sản phẩm</t>
  </si>
  <si>
    <t>Test bản địa hóa Arabic thất bại. Thị trường Arabic (Saudi Arabia, UAE…) cần tiền tệ địa phương.</t>
  </si>
  <si>
    <t>1. Chuyển sang ngôn ngữ Tiếng Việt (vi-VN)
2. Điều hướng đến danh sách sản phẩm
3. Kiểm tra giá trên card sản phẩm, chi tiết sản phẩm, giỏ hàng, checkout
4. Xác thực ký hiệu tiền tệ</t>
  </si>
  <si>
    <t>Ký hiệu: '₫' hoặc 'VND'
Vị trí: SUFFIX
Dấu thập phân: ','
Dấu nhóm: '.'
Ví dụ: 572.350 ₫</t>
  </si>
  <si>
    <t>Tất cả giá hiển thị:
• 22,94 €
• 34,46 €
• 34,80 €
• 14,28 €
Dấu thập phân đúng (,) nhưng ký hiệu sai.</t>
  </si>
  <si>
    <t>1. Chuyển sang ngôn ngữ Arabic
2. Điều hướng đến sản phẩm
3. Kiểm tra giá trên homepage, category, chi tiết sản phẩm, giỏ hàng
4. Xác thực ký hiệu và định dạng</t>
  </si>
  <si>
    <t>Giá hiển thị:
• 22.94 €
• 34.46 €
• 34.80 €
• 14.28 €
Định dạng thập phân đúng nhưng ký hiệu sai.</t>
  </si>
  <si>
    <t>Không đặt hướng RTL cho ngôn ngữ Arabic</t>
  </si>
  <si>
    <t>Arabic là ngôn ngữ RTL nhưng thuộc tính dir không được đặt đúng → toàn bộ giao diện sai.</t>
  </si>
  <si>
    <t>• Ngôn ngữ Arabic được chọn
• Kiểm tra thuộc tính dir HTML và CSS direction</t>
  </si>
  <si>
    <t>1. Chuyển sang Arabic
2. Inspect phần tử &lt;html&gt; và &lt;body&gt;
3. Lấy computed CSS direction
4. Xác nhận dir='rtl'</t>
  </si>
  <si>
    <t>&lt;html dir='rtl' lang='ar'&gt;
CSS direction: rtl
Các phần tử UI căn phải, text chảy phải → trái</t>
  </si>
  <si>
    <t>Tìm thấy:
• &lt;html dir&gt;: KHÔNG ĐẶT
• &lt;body dir&gt;: KHÔNG ĐẶT
• CSS direction: 'ltr'
Toàn bộ UI vẫn LTR → sai hoàn toàn với Arabic.</t>
  </si>
  <si>
    <t>Văn bản tiếng Anh chưa dịch: About us, Terms and conditions</t>
  </si>
  <si>
    <t>Test phát hiện 2 cụm tiếng Anh chưa dịch trong phiên bản Tiếng Việt. Độ phủ keyword chỉ 30%.</t>
  </si>
  <si>
    <t>• Ngôn ngữ Tiếng Việt đang active
• Quét toàn bộ text trang</t>
  </si>
  <si>
    <t>1. Chuyển sang Tiếng Việt (vi-VN)
2. Lấy toàn bộ text body
3. Quét danh sách từ tiếng Anh cấm
4. Kiểm tra keyword Tiếng Việt mong đợi</t>
  </si>
  <si>
    <t>Không có text tiếng Anh
'About us' → 'Về chúng tôi'
'Terms and conditions' → 'Điều khoản và điều kiện'
Độ phủ keyword ≥ 50%</t>
  </si>
  <si>
    <t>Tìm thấy tiếng Anh:
• 'About us' (footer)
• 'Terms and conditions' (footer)
Độ phủ keyword Việt: 30% (chỉ tìm thấy Đăng nhập, Liên hệ, Giỏ hàng)</t>
  </si>
  <si>
    <t>Văn bản tiếng Anh chưa dịch: About us, Clothes, Accessories</t>
  </si>
  <si>
    <t>Test Arabic phát hiện 3 cụm tiếng Anh chưa dịch. Độ phủ keyword chỉ 20%.</t>
  </si>
  <si>
    <t>• Ngôn ngữ Arabic (ar)
• Quét text trang</t>
  </si>
  <si>
    <t>1. Chuyển sang Arabic
2. Quét tìm từ tiếng Anh
3. Kiểm tra danh sách 18 từ cấm
4. Kiểm tra 10 keyword Arabic mong đợi
5. Tính % độ phủ</t>
  </si>
  <si>
    <t>Không có từ tiếng Anh
'Clothes' → 'ملابس'
'Accessories' → 'إكسسوارات'
Độ phủ keyword ≥ 50%</t>
  </si>
  <si>
    <t>Tìm thấy 3 cụm chưa dịch:
• 'About us' (footer)
• 'Clothes' (menu danh mục)
• 'Accessories' (menu danh mục)
Độ phủ Arabic: 20% (chỉ 2/10)</t>
  </si>
  <si>
    <t>Bản dịch Arabic rất thiếu. Danh mục chính và các thuật ngữ mua sắm chưa dịch.</t>
  </si>
  <si>
    <t>1. Dịch danh mục: 'Clothes' =&gt; 'ملابس', 'Accessories' =&gt; 'إكسسوارات'
2. Hoàn thiện footer
3. Thêm thuật ngữ mua sắm: 'Add to cart' =&gt; 'أضف إلى السلة', 'Search' =&gt; 'بحث'
4. Review toàn bộ bản dịch Arabic
5. Nên nhờ native speaker kiểm tra</t>
  </si>
  <si>
    <t>Bản dịch ngôn ngữ chưa hoàn thiện. Footer chưa dịch. Nhiều cụm phổ biến thiếu trong từ điển.</t>
  </si>
  <si>
    <t>1. Hoàn thiện file dịch: /translations/vi/footer.php
2. Thêm các cụm:
'About us' =&gt; 'Về chúng tôi'
'Terms and conditions' =&gt; 'Điều khoản và điều kiện'
3. Kiểm tra lại toàn bộ UI string
4. Chạy lại test độ phủ dịch</t>
  </si>
  <si>
    <t>Language pack Arabic đã cài nhưng không kích hoạt RTL.
Thiếu:
1. Thuộc tính dir HTML
2. CSS direction
3. Theme không có stylesheet RTL
4. JS không detect RTL</t>
  </si>
  <si>
    <t>1. Thêm dir='rtl' vào &lt;html&gt; khi lang='ar'
2. Load CSS RTL riêng
3. JS detect:
if (document.documentElement.lang === 'ar') { document.documentElement.dir = 'rtl'; }
4. Test kỹ toàn bộ layout</t>
  </si>
  <si>
    <t>EUR toàn cục không phù hợp với thị trường Arabic. Cần tiền tệ theo khu vực.</t>
  </si>
  <si>
    <t>1. Thêm SAR hoặc AED
2. Đặt tỷ giá: 1 EUR ≈ 4.35 SAR hoặc 4.27 AED
3. Cấu hình tiền tệ theo quốc gia
4. Ví dụ: 22.94 EUR ≈ 99.78 ر.س</t>
  </si>
  <si>
    <t>Cùng nguyên nhân với BUG-LOC-001. Demo dùng EUR toàn cục. Cần cấu hình riêng cho locale Việt Nam.</t>
  </si>
  <si>
    <t>1. Thêm VND trong admin
2. Đặt tỷ giá chuyển đổi EUR → VND (≈ 26.000)
3. Gán VND làm mặc định cho locale Việt
4. Test ví dụ: 22.94 EUR ≈ 572.350 ₫</t>
  </si>
  <si>
    <t>PrestaShop demo cấu hình mặc định Euro (€). Ngôn ngữ English không override cài đặt tiền tệ. Tiền tệ là cấu hình toàn site, không theo ngôn ngữ.</t>
  </si>
  <si>
    <t>1. Admin &gt; Localization &gt; Currencies
2. Thêm USD
3. Đặt USD làm mặc định cho English
HOẶC cập nhật kỳ vọng test chấp nhận € trên demo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</si>
</sst>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9" x14ac:knownFonts="1">
    <font>
      <sz val="11"/>
      <color theme="1"/>
      <name val="Calibri"/>
      <family val="2"/>
      <scheme val="minor"/>
    </font>
    <font>
      <sz val="13"/>
      <color theme="1"/>
      <name val="Times New Roman"/>
      <family val="1"/>
    </font>
    <font>
      <sz val="13"/>
      <color rgb="FF1F1F1F"/>
      <name val="Times New Roman"/>
      <family val="1"/>
    </font>
    <font>
      <sz val="13"/>
      <color rgb="FF444746"/>
      <name val="Times New Roman"/>
      <family val="1"/>
    </font>
    <font>
      <b/>
      <sz val="13"/>
      <color theme="1"/>
      <name val="Times New Roman"/>
      <family val="1"/>
    </font>
    <font>
      <b/>
      <sz val="13"/>
      <color rgb="FF1F1F1F"/>
      <name val="Times New Roman"/>
      <family val="1"/>
    </font>
    <font>
      <b/>
      <sz val="13"/>
      <color rgb="FFFFFFFF"/>
      <name val="Times New Roman"/>
      <family val="1"/>
    </font>
    <font>
      <b/>
      <sz val="13"/>
      <name val="Times New Roman"/>
      <family val="1"/>
    </font>
    <font>
      <b/>
      <sz val="13"/>
      <color rgb="FFC00000"/>
      <name val="Times New Roman"/>
      <family val="1"/>
    </font>
  </fonts>
  <fills count="11">
    <fill>
      <patternFill patternType="none"/>
    </fill>
    <fill>
      <patternFill patternType="gray125"/>
    </fill>
    <fill>
      <patternFill patternType="solid">
        <fgColor rgb="FF366092"/>
        <bgColor rgb="FF366092"/>
      </patternFill>
    </fill>
    <fill>
      <patternFill patternType="solid">
        <fgColor rgb="FFC6E0B4"/>
        <bgColor rgb="FFC6E0B4"/>
      </patternFill>
    </fill>
    <fill>
      <patternFill patternType="solid">
        <fgColor rgb="FFF4B084"/>
        <bgColor rgb="FFF4B084"/>
      </patternFill>
    </fill>
    <fill>
      <patternFill patternType="solid">
        <fgColor rgb="FFD9D9D9"/>
        <bgColor rgb="FFD9D9D9"/>
      </patternFill>
    </fill>
    <fill>
      <patternFill patternType="solid">
        <fgColor rgb="FFD9E1F2"/>
        <bgColor rgb="FFD9E1F2"/>
      </patternFill>
    </fill>
    <fill>
      <patternFill patternType="solid">
        <fgColor rgb="FF4472C4"/>
        <bgColor rgb="FF4472C4"/>
      </patternFill>
    </fill>
    <fill>
      <patternFill patternType="solid">
        <fgColor rgb="FFC00000"/>
        <bgColor rgb="FFC00000"/>
      </patternFill>
    </fill>
    <fill>
      <patternFill patternType="solid">
        <fgColor rgb="FFFFC7CE"/>
        <bgColor rgb="FFFFC7CE"/>
      </patternFill>
    </fill>
    <fill>
      <patternFill patternType="solid">
        <fgColor rgb="FFFFEB9C"/>
        <bgColor rgb="FFFFEB9C"/>
      </patternFill>
    </fill>
  </fills>
  <borders count="22">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rgb="FF000000"/>
      </right>
      <top style="medium">
        <color indexed="64"/>
      </top>
      <bottom/>
      <diagonal/>
    </border>
    <border>
      <left style="medium">
        <color rgb="FF000000"/>
      </left>
      <right style="medium">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style="medium">
        <color rgb="FF000000"/>
      </right>
      <top/>
      <bottom/>
      <diagonal/>
    </border>
    <border>
      <left style="medium">
        <color rgb="FF000000"/>
      </left>
      <right style="medium">
        <color indexed="64"/>
      </right>
      <top/>
      <bottom/>
      <diagonal/>
    </border>
    <border>
      <left style="medium">
        <color indexed="64"/>
      </left>
      <right style="medium">
        <color rgb="FF000000"/>
      </right>
      <top/>
      <bottom style="medium">
        <color indexed="64"/>
      </bottom>
      <diagonal/>
    </border>
    <border>
      <left style="medium">
        <color rgb="FF000000"/>
      </left>
      <right style="medium">
        <color rgb="FF000000"/>
      </right>
      <top/>
      <bottom style="medium">
        <color indexed="64"/>
      </bottom>
      <diagonal/>
    </border>
    <border>
      <left style="medium">
        <color rgb="FF000000"/>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92">
    <xf numFmtId="0" fontId="0" fillId="0" borderId="0" xfId="0"/>
    <xf numFmtId="0" fontId="2" fillId="0" borderId="1" xfId="0" applyFont="1" applyBorder="1" applyAlignment="1">
      <alignment vertical="center" readingOrder="1"/>
    </xf>
    <xf numFmtId="0" fontId="5" fillId="0" borderId="1" xfId="0" applyFont="1" applyBorder="1" applyAlignment="1">
      <alignment vertical="center" readingOrder="1"/>
    </xf>
    <xf numFmtId="0" fontId="2" fillId="0" borderId="2" xfId="0" applyFont="1" applyBorder="1" applyAlignment="1">
      <alignment vertical="center" readingOrder="1"/>
    </xf>
    <xf numFmtId="0" fontId="2" fillId="0" borderId="3" xfId="0" applyFont="1" applyBorder="1" applyAlignment="1">
      <alignment vertical="center" readingOrder="1"/>
    </xf>
    <xf numFmtId="0" fontId="1" fillId="0" borderId="3" xfId="0" applyFont="1" applyBorder="1" applyAlignment="1">
      <alignment vertical="center" readingOrder="1"/>
    </xf>
    <xf numFmtId="0" fontId="2" fillId="0" borderId="4" xfId="0" applyFont="1" applyBorder="1" applyAlignment="1">
      <alignment vertical="center" readingOrder="1"/>
    </xf>
    <xf numFmtId="0" fontId="1" fillId="0" borderId="0" xfId="0" applyFont="1" applyAlignment="1">
      <alignment vertical="center"/>
    </xf>
    <xf numFmtId="0" fontId="1" fillId="0" borderId="0" xfId="0" applyFont="1" applyAlignment="1">
      <alignment horizontal="left" vertical="center"/>
    </xf>
    <xf numFmtId="0" fontId="5" fillId="0" borderId="1" xfId="0" applyFont="1" applyBorder="1" applyAlignment="1">
      <alignment horizontal="left" vertical="center" readingOrder="1"/>
    </xf>
    <xf numFmtId="0" fontId="3" fillId="0" borderId="0" xfId="0" applyFont="1" applyAlignment="1">
      <alignment horizontal="left" vertical="center" readingOrder="1"/>
    </xf>
    <xf numFmtId="0" fontId="2" fillId="0" borderId="2" xfId="0" applyFont="1" applyBorder="1" applyAlignment="1">
      <alignment horizontal="left" vertical="center" readingOrder="1"/>
    </xf>
    <xf numFmtId="0" fontId="1" fillId="0" borderId="0" xfId="0" applyFont="1" applyAlignment="1">
      <alignment horizontal="left" vertical="center" readingOrder="1"/>
    </xf>
    <xf numFmtId="0" fontId="1" fillId="0" borderId="3" xfId="0" applyFont="1" applyBorder="1" applyAlignment="1">
      <alignment horizontal="left" vertical="center" readingOrder="1"/>
    </xf>
    <xf numFmtId="0" fontId="2" fillId="0" borderId="0" xfId="0" applyFont="1" applyAlignment="1">
      <alignment horizontal="left" vertical="center" readingOrder="1"/>
    </xf>
    <xf numFmtId="0" fontId="2" fillId="0" borderId="3" xfId="0" applyFont="1" applyBorder="1" applyAlignment="1">
      <alignment horizontal="left" vertical="center" readingOrder="1"/>
    </xf>
    <xf numFmtId="0" fontId="2" fillId="0" borderId="4" xfId="0" applyFont="1" applyBorder="1" applyAlignment="1">
      <alignment horizontal="left" vertical="center" readingOrder="1"/>
    </xf>
    <xf numFmtId="0" fontId="4" fillId="0" borderId="0" xfId="0" applyFont="1" applyAlignment="1">
      <alignment horizontal="left" vertical="center"/>
    </xf>
    <xf numFmtId="0" fontId="2" fillId="0" borderId="1" xfId="0" applyFont="1" applyBorder="1" applyAlignment="1">
      <alignment horizontal="left" vertical="center" readingOrder="1"/>
    </xf>
    <xf numFmtId="0" fontId="4" fillId="0" borderId="0" xfId="0" applyFont="1" applyAlignment="1">
      <alignment horizontal="left"/>
    </xf>
    <xf numFmtId="0" fontId="1" fillId="0" borderId="0" xfId="0" applyFont="1" applyAlignment="1">
      <alignment horizontal="left"/>
    </xf>
    <xf numFmtId="14" fontId="3" fillId="0" borderId="1" xfId="0" applyNumberFormat="1" applyFont="1" applyBorder="1" applyAlignment="1">
      <alignment vertical="center" readingOrder="1"/>
    </xf>
    <xf numFmtId="0" fontId="3" fillId="0" borderId="1" xfId="0" applyFont="1" applyBorder="1" applyAlignment="1">
      <alignment vertical="center" readingOrder="1"/>
    </xf>
    <xf numFmtId="0" fontId="1" fillId="0" borderId="4" xfId="0" applyFont="1" applyBorder="1" applyAlignment="1">
      <alignment vertical="center" readingOrder="1"/>
    </xf>
    <xf numFmtId="0" fontId="4" fillId="0" borderId="0" xfId="0" applyFont="1" applyAlignment="1">
      <alignment vertical="center"/>
    </xf>
    <xf numFmtId="0" fontId="2" fillId="0" borderId="2" xfId="0" applyFont="1" applyBorder="1" applyAlignment="1">
      <alignment horizontal="left" vertical="center" readingOrder="1"/>
    </xf>
    <xf numFmtId="0" fontId="2" fillId="0" borderId="3" xfId="0" applyFont="1" applyBorder="1" applyAlignment="1">
      <alignment horizontal="left" vertical="center" readingOrder="1"/>
    </xf>
    <xf numFmtId="0" fontId="2" fillId="0" borderId="4" xfId="0" applyFont="1" applyBorder="1" applyAlignment="1">
      <alignment horizontal="left" vertical="center" readingOrder="1"/>
    </xf>
    <xf numFmtId="0" fontId="1" fillId="0" borderId="5" xfId="0" applyFont="1" applyBorder="1" applyAlignment="1">
      <alignment horizontal="left" vertical="center" wrapText="1"/>
    </xf>
    <xf numFmtId="0" fontId="2" fillId="0" borderId="2" xfId="0" applyFont="1" applyBorder="1" applyAlignment="1">
      <alignment vertical="center" readingOrder="1"/>
    </xf>
    <xf numFmtId="0" fontId="2" fillId="0" borderId="3" xfId="0" applyFont="1" applyBorder="1" applyAlignment="1">
      <alignment vertical="center" readingOrder="1"/>
    </xf>
    <xf numFmtId="0" fontId="2" fillId="0" borderId="4" xfId="0" applyFont="1" applyBorder="1" applyAlignment="1">
      <alignment vertical="center" readingOrder="1"/>
    </xf>
    <xf numFmtId="0" fontId="1" fillId="0" borderId="5" xfId="0" applyFont="1" applyBorder="1" applyAlignment="1">
      <alignment vertical="center" wrapText="1"/>
    </xf>
    <xf numFmtId="0" fontId="3" fillId="0" borderId="2" xfId="0" applyFont="1" applyBorder="1" applyAlignment="1">
      <alignment vertical="center" readingOrder="1"/>
    </xf>
    <xf numFmtId="0" fontId="3" fillId="0" borderId="3" xfId="0" applyFont="1" applyBorder="1" applyAlignment="1">
      <alignment vertical="center" readingOrder="1"/>
    </xf>
    <xf numFmtId="0" fontId="3" fillId="0" borderId="4" xfId="0" applyFont="1" applyBorder="1" applyAlignment="1">
      <alignment vertical="center" readingOrder="1"/>
    </xf>
    <xf numFmtId="8" fontId="3" fillId="0" borderId="2" xfId="0" applyNumberFormat="1" applyFont="1" applyBorder="1" applyAlignment="1">
      <alignment vertical="center" readingOrder="1"/>
    </xf>
    <xf numFmtId="8" fontId="3" fillId="0" borderId="3" xfId="0" applyNumberFormat="1" applyFont="1" applyBorder="1" applyAlignment="1">
      <alignment vertical="center" readingOrder="1"/>
    </xf>
    <xf numFmtId="8" fontId="3" fillId="0" borderId="4" xfId="0" applyNumberFormat="1" applyFont="1" applyBorder="1" applyAlignment="1">
      <alignment vertical="center" readingOrder="1"/>
    </xf>
    <xf numFmtId="0" fontId="2" fillId="0" borderId="7" xfId="0" applyFont="1" applyBorder="1" applyAlignment="1">
      <alignment horizontal="left" vertical="center" readingOrder="1"/>
    </xf>
    <xf numFmtId="0" fontId="2" fillId="0" borderId="8" xfId="0" applyFont="1" applyBorder="1" applyAlignment="1">
      <alignment horizontal="left" vertical="center" readingOrder="1"/>
    </xf>
    <xf numFmtId="0" fontId="2" fillId="0" borderId="6" xfId="0" applyFont="1" applyBorder="1" applyAlignment="1">
      <alignment vertical="center" readingOrder="1"/>
    </xf>
    <xf numFmtId="0" fontId="2" fillId="0" borderId="0" xfId="0" applyFont="1" applyBorder="1" applyAlignment="1">
      <alignment horizontal="left" vertical="center" readingOrder="1"/>
    </xf>
    <xf numFmtId="0" fontId="2" fillId="0" borderId="10" xfId="0" applyFont="1" applyBorder="1" applyAlignment="1">
      <alignment horizontal="left" vertical="center" readingOrder="1"/>
    </xf>
    <xf numFmtId="0" fontId="2" fillId="0" borderId="11" xfId="0" applyFont="1" applyBorder="1" applyAlignment="1">
      <alignment horizontal="left" vertical="center" readingOrder="1"/>
    </xf>
    <xf numFmtId="0" fontId="2" fillId="0" borderId="13" xfId="0" applyFont="1" applyBorder="1" applyAlignment="1">
      <alignment horizontal="left" vertical="center" readingOrder="1"/>
    </xf>
    <xf numFmtId="0" fontId="2" fillId="0" borderId="15" xfId="0" applyFont="1" applyBorder="1" applyAlignment="1">
      <alignment horizontal="left" vertical="center" readingOrder="1"/>
    </xf>
    <xf numFmtId="0" fontId="2" fillId="0" borderId="16" xfId="0" applyFont="1" applyBorder="1" applyAlignment="1">
      <alignment horizontal="left" vertical="center" readingOrder="1"/>
    </xf>
    <xf numFmtId="0" fontId="1" fillId="0" borderId="0" xfId="0" applyFont="1" applyAlignment="1"/>
    <xf numFmtId="0" fontId="1" fillId="0" borderId="6" xfId="0" applyFont="1" applyBorder="1" applyAlignment="1"/>
    <xf numFmtId="0" fontId="2" fillId="0" borderId="9" xfId="0" applyFont="1" applyBorder="1" applyAlignment="1">
      <alignment vertical="center" readingOrder="1"/>
    </xf>
    <xf numFmtId="0" fontId="2" fillId="0" borderId="19" xfId="0" applyFont="1" applyBorder="1" applyAlignment="1">
      <alignment horizontal="left" vertical="center" readingOrder="1"/>
    </xf>
    <xf numFmtId="0" fontId="1" fillId="0" borderId="9" xfId="0" applyFont="1" applyBorder="1" applyAlignment="1"/>
    <xf numFmtId="0" fontId="2" fillId="0" borderId="1" xfId="0" applyFont="1" applyBorder="1" applyAlignment="1">
      <alignment horizontal="left" vertical="center" wrapText="1" readingOrder="1"/>
    </xf>
    <xf numFmtId="0" fontId="2" fillId="0" borderId="2" xfId="0" applyFont="1" applyBorder="1" applyAlignment="1">
      <alignment horizontal="left" vertical="center" wrapText="1" readingOrder="1"/>
    </xf>
    <xf numFmtId="0" fontId="2" fillId="0" borderId="3" xfId="0" applyFont="1" applyBorder="1" applyAlignment="1">
      <alignment horizontal="left" vertical="center" wrapText="1" readingOrder="1"/>
    </xf>
    <xf numFmtId="0" fontId="2" fillId="0" borderId="12" xfId="0" applyFont="1" applyBorder="1" applyAlignment="1">
      <alignment horizontal="left" vertical="center" wrapText="1" readingOrder="1"/>
    </xf>
    <xf numFmtId="0" fontId="2" fillId="0" borderId="14" xfId="0" applyFont="1" applyBorder="1" applyAlignment="1">
      <alignment horizontal="left" vertical="center" wrapText="1" readingOrder="1"/>
    </xf>
    <xf numFmtId="0" fontId="2" fillId="0" borderId="17" xfId="0" applyFont="1" applyBorder="1" applyAlignment="1">
      <alignment horizontal="left" vertical="center" wrapText="1" readingOrder="1"/>
    </xf>
    <xf numFmtId="0" fontId="5" fillId="0" borderId="1" xfId="0" applyFont="1" applyBorder="1" applyAlignment="1">
      <alignment horizontal="left" vertical="center" wrapText="1" readingOrder="1"/>
    </xf>
    <xf numFmtId="0" fontId="2" fillId="0" borderId="2" xfId="0" applyFont="1" applyBorder="1" applyAlignment="1">
      <alignment horizontal="left" vertical="center" wrapText="1" readingOrder="1"/>
    </xf>
    <xf numFmtId="0" fontId="2" fillId="0" borderId="21" xfId="0" applyFont="1" applyBorder="1" applyAlignment="1">
      <alignment horizontal="left" vertical="center" wrapText="1" readingOrder="1"/>
    </xf>
    <xf numFmtId="0" fontId="1" fillId="0" borderId="20" xfId="0" applyFont="1" applyBorder="1" applyAlignment="1">
      <alignment horizontal="left" wrapText="1"/>
    </xf>
    <xf numFmtId="0" fontId="2" fillId="0" borderId="1" xfId="0" applyFont="1" applyBorder="1" applyAlignment="1">
      <alignment vertical="center" wrapText="1" readingOrder="1"/>
    </xf>
    <xf numFmtId="0" fontId="2" fillId="0" borderId="2" xfId="0" applyFont="1" applyBorder="1" applyAlignment="1">
      <alignment vertical="center" wrapText="1" readingOrder="1"/>
    </xf>
    <xf numFmtId="0" fontId="1" fillId="0" borderId="0" xfId="0" applyFont="1"/>
    <xf numFmtId="0" fontId="1" fillId="0" borderId="9" xfId="0" applyFont="1" applyBorder="1"/>
    <xf numFmtId="0" fontId="1" fillId="0" borderId="18" xfId="0" applyFont="1" applyBorder="1"/>
    <xf numFmtId="0" fontId="6" fillId="2" borderId="0" xfId="0" applyFont="1" applyFill="1" applyAlignment="1">
      <alignment horizontal="center" vertical="center"/>
    </xf>
    <xf numFmtId="0" fontId="1" fillId="0" borderId="0" xfId="0" applyFont="1" applyAlignment="1"/>
    <xf numFmtId="0" fontId="1" fillId="0" borderId="0" xfId="0" applyFont="1" applyBorder="1" applyAlignment="1"/>
    <xf numFmtId="0" fontId="6" fillId="7" borderId="6" xfId="0" applyFont="1" applyFill="1" applyBorder="1" applyAlignment="1">
      <alignment horizontal="center" vertical="center"/>
    </xf>
    <xf numFmtId="0" fontId="1" fillId="0" borderId="6" xfId="0" applyFont="1" applyBorder="1" applyAlignment="1">
      <alignment vertical="top"/>
    </xf>
    <xf numFmtId="0" fontId="7" fillId="4" borderId="6" xfId="0" applyFont="1" applyFill="1" applyBorder="1" applyAlignment="1">
      <alignment vertical="top"/>
    </xf>
    <xf numFmtId="0" fontId="7" fillId="3" borderId="6" xfId="0" applyFont="1" applyFill="1" applyBorder="1" applyAlignment="1">
      <alignment vertical="top"/>
    </xf>
    <xf numFmtId="0" fontId="1" fillId="5" borderId="6" xfId="0" applyFont="1" applyFill="1" applyBorder="1" applyAlignment="1">
      <alignment vertical="top"/>
    </xf>
    <xf numFmtId="0" fontId="2" fillId="0" borderId="0" xfId="0" applyFont="1" applyBorder="1" applyAlignment="1">
      <alignment vertical="center" readingOrder="1"/>
    </xf>
    <xf numFmtId="0" fontId="3" fillId="0" borderId="0" xfId="0" applyFont="1" applyBorder="1" applyAlignment="1">
      <alignment vertical="center" readingOrder="1"/>
    </xf>
    <xf numFmtId="0" fontId="4" fillId="0" borderId="0" xfId="0" applyFont="1" applyAlignment="1"/>
    <xf numFmtId="0" fontId="6" fillId="8" borderId="0" xfId="0" applyFont="1" applyFill="1" applyAlignment="1">
      <alignment horizontal="center" vertical="center" wrapText="1"/>
    </xf>
    <xf numFmtId="0" fontId="1" fillId="0" borderId="0" xfId="0" applyFont="1" applyAlignment="1">
      <alignment wrapText="1"/>
    </xf>
    <xf numFmtId="0" fontId="6" fillId="8" borderId="6" xfId="0" applyFont="1" applyFill="1" applyBorder="1" applyAlignment="1">
      <alignment horizontal="center" vertical="center" wrapText="1"/>
    </xf>
    <xf numFmtId="0" fontId="1" fillId="0" borderId="6" xfId="0" applyFont="1" applyBorder="1" applyAlignment="1">
      <alignment vertical="top" wrapText="1"/>
    </xf>
    <xf numFmtId="0" fontId="8" fillId="9" borderId="6" xfId="0" applyFont="1" applyFill="1" applyBorder="1" applyAlignment="1">
      <alignment vertical="top" wrapText="1"/>
    </xf>
    <xf numFmtId="0" fontId="1" fillId="10" borderId="6" xfId="0" applyFont="1" applyFill="1" applyBorder="1" applyAlignment="1">
      <alignment vertical="top" wrapText="1"/>
    </xf>
    <xf numFmtId="0" fontId="5" fillId="0" borderId="0" xfId="0" applyFont="1" applyBorder="1" applyAlignment="1">
      <alignment vertical="center" readingOrder="1"/>
    </xf>
    <xf numFmtId="0" fontId="3" fillId="0" borderId="6" xfId="0" applyFont="1" applyBorder="1" applyAlignment="1">
      <alignment vertical="center" readingOrder="1"/>
    </xf>
    <xf numFmtId="0" fontId="7" fillId="6" borderId="6" xfId="0" applyFont="1" applyFill="1" applyBorder="1" applyAlignment="1"/>
    <xf numFmtId="0" fontId="6" fillId="2" borderId="6" xfId="0" applyFont="1" applyFill="1" applyBorder="1" applyAlignment="1"/>
    <xf numFmtId="0" fontId="1" fillId="0" borderId="6" xfId="0" applyFont="1" applyBorder="1" applyAlignment="1"/>
    <xf numFmtId="0" fontId="1" fillId="0" borderId="6" xfId="0" applyFont="1" applyBorder="1"/>
    <xf numFmtId="14" fontId="2" fillId="0" borderId="1" xfId="0" applyNumberFormat="1" applyFont="1" applyBorder="1" applyAlignment="1">
      <alignment horizontal="left"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12891-EA7A-4549-9E84-3BE389ADFD92}">
  <dimension ref="A1:C46"/>
  <sheetViews>
    <sheetView zoomScale="70" zoomScaleNormal="70" workbookViewId="0">
      <selection activeCell="B9" sqref="B9"/>
    </sheetView>
  </sheetViews>
  <sheetFormatPr defaultRowHeight="16.5" x14ac:dyDescent="0.35"/>
  <cols>
    <col min="1" max="1" width="39.7265625" style="20" bestFit="1" customWidth="1"/>
    <col min="2" max="2" width="35.81640625" style="20" customWidth="1"/>
    <col min="3" max="3" width="46.7265625" style="20" customWidth="1"/>
    <col min="4" max="16384" width="8.7265625" style="20"/>
  </cols>
  <sheetData>
    <row r="1" spans="1:3" ht="17" thickBot="1" x14ac:dyDescent="0.4">
      <c r="A1" s="19" t="s">
        <v>11</v>
      </c>
    </row>
    <row r="2" spans="1:3" ht="17" thickBot="1" x14ac:dyDescent="0.4">
      <c r="A2" s="9" t="s">
        <v>0</v>
      </c>
      <c r="B2" s="9" t="s">
        <v>1</v>
      </c>
    </row>
    <row r="3" spans="1:3" ht="17" thickBot="1" x14ac:dyDescent="0.4">
      <c r="A3" s="18" t="s">
        <v>2</v>
      </c>
      <c r="B3" s="53" t="s">
        <v>214</v>
      </c>
    </row>
    <row r="4" spans="1:3" ht="33.5" thickBot="1" x14ac:dyDescent="0.4">
      <c r="A4" s="18" t="s">
        <v>3</v>
      </c>
      <c r="B4" s="53" t="s">
        <v>4</v>
      </c>
    </row>
    <row r="5" spans="1:3" ht="17" thickBot="1" x14ac:dyDescent="0.4">
      <c r="A5" s="18" t="s">
        <v>5</v>
      </c>
      <c r="B5" s="53" t="s">
        <v>6</v>
      </c>
    </row>
    <row r="6" spans="1:3" ht="33.5" thickBot="1" x14ac:dyDescent="0.4">
      <c r="A6" s="18" t="s">
        <v>7</v>
      </c>
      <c r="B6" s="53" t="s">
        <v>8</v>
      </c>
    </row>
    <row r="7" spans="1:3" ht="17" thickBot="1" x14ac:dyDescent="0.4">
      <c r="A7" s="18" t="s">
        <v>9</v>
      </c>
      <c r="B7" s="53" t="s">
        <v>349</v>
      </c>
    </row>
    <row r="8" spans="1:3" ht="17" thickBot="1" x14ac:dyDescent="0.4">
      <c r="A8" s="18" t="s">
        <v>10</v>
      </c>
      <c r="B8" s="91">
        <v>46055</v>
      </c>
    </row>
    <row r="9" spans="1:3" x14ac:dyDescent="0.35">
      <c r="A9" s="42"/>
      <c r="B9" s="42"/>
    </row>
    <row r="11" spans="1:3" ht="17" thickBot="1" x14ac:dyDescent="0.4">
      <c r="A11" s="19" t="s">
        <v>12</v>
      </c>
    </row>
    <row r="12" spans="1:3" ht="17" thickBot="1" x14ac:dyDescent="0.4">
      <c r="A12" s="9" t="s">
        <v>13</v>
      </c>
      <c r="B12" s="9" t="s">
        <v>14</v>
      </c>
      <c r="C12" s="9" t="s">
        <v>15</v>
      </c>
    </row>
    <row r="13" spans="1:3" ht="33.5" thickBot="1" x14ac:dyDescent="0.4">
      <c r="A13" s="18" t="s">
        <v>16</v>
      </c>
      <c r="B13" s="18" t="s">
        <v>17</v>
      </c>
      <c r="C13" s="53" t="s">
        <v>18</v>
      </c>
    </row>
    <row r="14" spans="1:3" ht="17" thickBot="1" x14ac:dyDescent="0.4">
      <c r="A14" s="25" t="s">
        <v>19</v>
      </c>
      <c r="B14" s="63" t="s">
        <v>215</v>
      </c>
      <c r="C14" s="54" t="s">
        <v>45</v>
      </c>
    </row>
    <row r="15" spans="1:3" ht="17" thickBot="1" x14ac:dyDescent="0.4">
      <c r="A15" s="26"/>
      <c r="C15" s="55"/>
    </row>
    <row r="16" spans="1:3" ht="17" thickBot="1" x14ac:dyDescent="0.4">
      <c r="A16" s="26"/>
      <c r="B16" s="63" t="s">
        <v>216</v>
      </c>
      <c r="C16" s="55"/>
    </row>
    <row r="17" spans="1:3" ht="17" thickBot="1" x14ac:dyDescent="0.4">
      <c r="A17" s="26"/>
      <c r="C17" s="55"/>
    </row>
    <row r="18" spans="1:3" ht="17" thickBot="1" x14ac:dyDescent="0.4">
      <c r="A18" s="26"/>
      <c r="B18" s="63" t="s">
        <v>217</v>
      </c>
      <c r="C18" s="55"/>
    </row>
    <row r="19" spans="1:3" ht="17" thickBot="1" x14ac:dyDescent="0.4">
      <c r="A19" s="26"/>
      <c r="C19" s="55"/>
    </row>
    <row r="20" spans="1:3" ht="17" thickBot="1" x14ac:dyDescent="0.4">
      <c r="A20" s="26"/>
      <c r="B20" s="63" t="s">
        <v>218</v>
      </c>
      <c r="C20" s="55"/>
    </row>
    <row r="21" spans="1:3" ht="17" thickBot="1" x14ac:dyDescent="0.4">
      <c r="A21" s="26"/>
      <c r="B21" s="15"/>
      <c r="C21" s="55"/>
    </row>
    <row r="22" spans="1:3" ht="17" thickBot="1" x14ac:dyDescent="0.4">
      <c r="A22" s="26"/>
      <c r="B22" s="63" t="s">
        <v>219</v>
      </c>
      <c r="C22" s="55"/>
    </row>
    <row r="23" spans="1:3" ht="17" thickBot="1" x14ac:dyDescent="0.4">
      <c r="A23" s="26"/>
      <c r="B23" s="13"/>
      <c r="C23" s="55"/>
    </row>
    <row r="24" spans="1:3" ht="17" thickBot="1" x14ac:dyDescent="0.4">
      <c r="A24" s="26"/>
      <c r="B24" s="64" t="s">
        <v>220</v>
      </c>
      <c r="C24" s="55"/>
    </row>
    <row r="25" spans="1:3" x14ac:dyDescent="0.35">
      <c r="A25" s="43" t="s">
        <v>20</v>
      </c>
      <c r="B25" s="44" t="s">
        <v>21</v>
      </c>
      <c r="C25" s="56" t="s">
        <v>24</v>
      </c>
    </row>
    <row r="26" spans="1:3" x14ac:dyDescent="0.35">
      <c r="A26" s="45"/>
      <c r="B26" s="13"/>
      <c r="C26" s="57"/>
    </row>
    <row r="27" spans="1:3" x14ac:dyDescent="0.35">
      <c r="A27" s="45"/>
      <c r="B27" s="15" t="s">
        <v>22</v>
      </c>
      <c r="C27" s="57"/>
    </row>
    <row r="28" spans="1:3" x14ac:dyDescent="0.35">
      <c r="A28" s="45"/>
      <c r="B28" s="13"/>
      <c r="C28" s="57"/>
    </row>
    <row r="29" spans="1:3" ht="17" thickBot="1" x14ac:dyDescent="0.4">
      <c r="A29" s="46"/>
      <c r="B29" s="47" t="s">
        <v>23</v>
      </c>
      <c r="C29" s="58"/>
    </row>
    <row r="30" spans="1:3" x14ac:dyDescent="0.35">
      <c r="A30" s="42"/>
      <c r="B30" s="42"/>
      <c r="C30" s="42"/>
    </row>
    <row r="32" spans="1:3" ht="17" thickBot="1" x14ac:dyDescent="0.4">
      <c r="A32" s="19" t="s">
        <v>25</v>
      </c>
    </row>
    <row r="33" spans="1:3" ht="17" thickBot="1" x14ac:dyDescent="0.4">
      <c r="A33" s="9" t="s">
        <v>26</v>
      </c>
      <c r="B33" s="9" t="s">
        <v>27</v>
      </c>
      <c r="C33" s="9" t="s">
        <v>28</v>
      </c>
    </row>
    <row r="34" spans="1:3" ht="17" thickBot="1" x14ac:dyDescent="0.4">
      <c r="A34" s="18" t="s">
        <v>29</v>
      </c>
      <c r="B34" s="65">
        <f>COUNTA('Test case'!B7:B500)</f>
        <v>24</v>
      </c>
      <c r="C34" s="18"/>
    </row>
    <row r="35" spans="1:3" ht="17" thickBot="1" x14ac:dyDescent="0.4">
      <c r="A35" s="39" t="s">
        <v>30</v>
      </c>
      <c r="B35" s="66">
        <f>COUNTIF('Test case'!D7:D500,"PASS")</f>
        <v>13</v>
      </c>
      <c r="C35" s="40">
        <f>B35/B34%</f>
        <v>54.166666666666671</v>
      </c>
    </row>
    <row r="36" spans="1:3" ht="17" thickBot="1" x14ac:dyDescent="0.4">
      <c r="A36" s="18" t="s">
        <v>31</v>
      </c>
      <c r="B36" s="6">
        <f>COUNTIF('Test case'!D7:D500,"FAIL")</f>
        <v>6</v>
      </c>
      <c r="C36" s="18">
        <f>B36/B34%</f>
        <v>25</v>
      </c>
    </row>
    <row r="37" spans="1:3" ht="17" thickBot="1" x14ac:dyDescent="0.4">
      <c r="A37" s="18" t="s">
        <v>301</v>
      </c>
      <c r="B37" s="1">
        <f>COUNTIF('Test case'!D7:D500,"IGNORED")</f>
        <v>5</v>
      </c>
      <c r="C37" s="18">
        <f>B37/B34%</f>
        <v>20.833333333333336</v>
      </c>
    </row>
    <row r="38" spans="1:3" ht="17" thickBot="1" x14ac:dyDescent="0.4">
      <c r="A38" s="18" t="s">
        <v>32</v>
      </c>
      <c r="B38" s="18" t="str">
        <f>IF(B36&gt;0, "FAIL", "PASS")</f>
        <v>FAIL</v>
      </c>
      <c r="C38" s="18"/>
    </row>
    <row r="40" spans="1:3" ht="17" thickBot="1" x14ac:dyDescent="0.4">
      <c r="A40" s="19" t="s">
        <v>33</v>
      </c>
    </row>
    <row r="41" spans="1:3" ht="17" thickBot="1" x14ac:dyDescent="0.4">
      <c r="A41" s="9" t="s">
        <v>34</v>
      </c>
      <c r="B41" s="9" t="s">
        <v>35</v>
      </c>
      <c r="C41" s="59" t="s">
        <v>36</v>
      </c>
    </row>
    <row r="42" spans="1:3" ht="33.5" thickBot="1" x14ac:dyDescent="0.4">
      <c r="A42" s="18" t="s">
        <v>37</v>
      </c>
      <c r="B42" s="1">
        <f>COUNTIF('Báo cáo lỗi'!$C12:$C499,"Critical")</f>
        <v>4</v>
      </c>
      <c r="C42" s="53" t="s">
        <v>38</v>
      </c>
    </row>
    <row r="43" spans="1:3" ht="17" thickBot="1" x14ac:dyDescent="0.4">
      <c r="A43" s="18" t="s">
        <v>39</v>
      </c>
      <c r="B43" s="1">
        <f>COUNTIF('Báo cáo lỗi'!$C13:$C500,"High")</f>
        <v>2</v>
      </c>
      <c r="C43" s="53" t="s">
        <v>40</v>
      </c>
    </row>
    <row r="44" spans="1:3" ht="17" thickBot="1" x14ac:dyDescent="0.4">
      <c r="A44" s="11" t="s">
        <v>41</v>
      </c>
      <c r="B44" s="3">
        <f>COUNTIF('Báo cáo lỗi'!$C13:$C500,"Medium")</f>
        <v>0</v>
      </c>
      <c r="C44" s="60" t="s">
        <v>42</v>
      </c>
    </row>
    <row r="45" spans="1:3" ht="17" thickBot="1" x14ac:dyDescent="0.4">
      <c r="A45" s="51" t="s">
        <v>43</v>
      </c>
      <c r="B45" s="50">
        <f>COUNTIF('Báo cáo lỗi'!$C13:$C500,"Low")</f>
        <v>0</v>
      </c>
      <c r="C45" s="61" t="s">
        <v>44</v>
      </c>
    </row>
    <row r="46" spans="1:3" ht="17" thickBot="1" x14ac:dyDescent="0.4">
      <c r="A46" s="67" t="s">
        <v>302</v>
      </c>
      <c r="B46" s="52">
        <f>SUM(B42:B45)</f>
        <v>6</v>
      </c>
      <c r="C46" s="62"/>
    </row>
  </sheetData>
  <mergeCells count="4">
    <mergeCell ref="A14:A24"/>
    <mergeCell ref="C14:C24"/>
    <mergeCell ref="A25:A29"/>
    <mergeCell ref="C25:C2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15E68-684C-462B-B172-F4A9F2A17487}">
  <dimension ref="A1:G55"/>
  <sheetViews>
    <sheetView zoomScale="55" zoomScaleNormal="55" workbookViewId="0">
      <selection activeCell="E30" sqref="E30"/>
    </sheetView>
  </sheetViews>
  <sheetFormatPr defaultRowHeight="16.5" x14ac:dyDescent="0.35"/>
  <cols>
    <col min="1" max="1" width="49.26953125" style="8" bestFit="1" customWidth="1"/>
    <col min="2" max="2" width="57.08984375" style="8" bestFit="1" customWidth="1"/>
    <col min="3" max="3" width="41.90625" style="8" bestFit="1" customWidth="1"/>
    <col min="4" max="4" width="75.08984375" style="8" bestFit="1" customWidth="1"/>
    <col min="5" max="5" width="97.7265625" style="8" bestFit="1" customWidth="1"/>
    <col min="6" max="6" width="26.6328125" style="8" bestFit="1" customWidth="1"/>
    <col min="7" max="7" width="20.7265625" style="8" bestFit="1" customWidth="1"/>
    <col min="8" max="16384" width="8.7265625" style="8"/>
  </cols>
  <sheetData>
    <row r="1" spans="1:5" x14ac:dyDescent="0.35">
      <c r="A1" s="17" t="s">
        <v>53</v>
      </c>
      <c r="B1" s="17"/>
    </row>
    <row r="2" spans="1:5" ht="17" thickBot="1" x14ac:dyDescent="0.4">
      <c r="A2" s="28" t="s">
        <v>140</v>
      </c>
      <c r="B2" s="28"/>
      <c r="C2" s="14"/>
      <c r="D2" s="14"/>
      <c r="E2" s="14"/>
    </row>
    <row r="3" spans="1:5" ht="17" thickBot="1" x14ac:dyDescent="0.4">
      <c r="A3" s="9" t="s">
        <v>54</v>
      </c>
      <c r="B3" s="9" t="s">
        <v>55</v>
      </c>
      <c r="C3" s="9" t="s">
        <v>64</v>
      </c>
      <c r="D3" s="9" t="s">
        <v>56</v>
      </c>
      <c r="E3" s="10"/>
    </row>
    <row r="4" spans="1:5" x14ac:dyDescent="0.35">
      <c r="A4" s="25" t="s">
        <v>46</v>
      </c>
      <c r="B4" s="25" t="s">
        <v>65</v>
      </c>
      <c r="C4" s="11" t="s">
        <v>66</v>
      </c>
      <c r="D4" s="25" t="s">
        <v>136</v>
      </c>
      <c r="E4" s="12"/>
    </row>
    <row r="5" spans="1:5" x14ac:dyDescent="0.35">
      <c r="A5" s="26"/>
      <c r="B5" s="26"/>
      <c r="C5" s="13"/>
      <c r="D5" s="26"/>
      <c r="E5" s="14"/>
    </row>
    <row r="6" spans="1:5" x14ac:dyDescent="0.35">
      <c r="A6" s="26"/>
      <c r="B6" s="26"/>
      <c r="C6" s="15" t="s">
        <v>67</v>
      </c>
      <c r="D6" s="26"/>
      <c r="E6" s="10"/>
    </row>
    <row r="7" spans="1:5" x14ac:dyDescent="0.35">
      <c r="A7" s="26"/>
      <c r="B7" s="26"/>
      <c r="C7" s="13"/>
      <c r="D7" s="26"/>
      <c r="E7" s="12"/>
    </row>
    <row r="8" spans="1:5" ht="17" thickBot="1" x14ac:dyDescent="0.4">
      <c r="A8" s="27"/>
      <c r="B8" s="27"/>
      <c r="C8" s="16" t="s">
        <v>68</v>
      </c>
      <c r="D8" s="27"/>
      <c r="E8" s="14"/>
    </row>
    <row r="9" spans="1:5" x14ac:dyDescent="0.35">
      <c r="A9" s="25" t="s">
        <v>47</v>
      </c>
      <c r="B9" s="25" t="s">
        <v>69</v>
      </c>
      <c r="C9" s="11" t="s">
        <v>70</v>
      </c>
      <c r="D9" s="25" t="s">
        <v>137</v>
      </c>
      <c r="E9" s="10"/>
    </row>
    <row r="10" spans="1:5" x14ac:dyDescent="0.35">
      <c r="A10" s="26"/>
      <c r="B10" s="26"/>
      <c r="C10" s="13"/>
      <c r="D10" s="26"/>
      <c r="E10" s="12"/>
    </row>
    <row r="11" spans="1:5" x14ac:dyDescent="0.35">
      <c r="A11" s="26"/>
      <c r="B11" s="26"/>
      <c r="C11" s="15" t="s">
        <v>71</v>
      </c>
      <c r="D11" s="26"/>
      <c r="E11" s="14"/>
    </row>
    <row r="12" spans="1:5" x14ac:dyDescent="0.35">
      <c r="A12" s="26"/>
      <c r="B12" s="26"/>
      <c r="C12" s="13"/>
      <c r="D12" s="26"/>
      <c r="E12" s="10"/>
    </row>
    <row r="13" spans="1:5" x14ac:dyDescent="0.35">
      <c r="A13" s="26"/>
      <c r="B13" s="26"/>
      <c r="C13" s="15" t="s">
        <v>72</v>
      </c>
      <c r="D13" s="26"/>
      <c r="E13" s="12"/>
    </row>
    <row r="14" spans="1:5" x14ac:dyDescent="0.35">
      <c r="A14" s="26"/>
      <c r="B14" s="26"/>
      <c r="C14" s="13"/>
      <c r="D14" s="26"/>
      <c r="E14" s="14"/>
    </row>
    <row r="15" spans="1:5" ht="17" thickBot="1" x14ac:dyDescent="0.4">
      <c r="A15" s="27"/>
      <c r="B15" s="27"/>
      <c r="C15" s="16" t="s">
        <v>73</v>
      </c>
      <c r="D15" s="27"/>
    </row>
    <row r="16" spans="1:5" x14ac:dyDescent="0.35">
      <c r="A16" s="25" t="s">
        <v>48</v>
      </c>
      <c r="B16" s="25" t="s">
        <v>74</v>
      </c>
      <c r="C16" s="11" t="s">
        <v>75</v>
      </c>
      <c r="D16" s="25" t="s">
        <v>138</v>
      </c>
    </row>
    <row r="17" spans="1:5" x14ac:dyDescent="0.35">
      <c r="A17" s="26"/>
      <c r="B17" s="26"/>
      <c r="C17" s="13"/>
      <c r="D17" s="26"/>
      <c r="E17" s="14"/>
    </row>
    <row r="18" spans="1:5" x14ac:dyDescent="0.35">
      <c r="A18" s="26"/>
      <c r="B18" s="26"/>
      <c r="C18" s="15" t="s">
        <v>76</v>
      </c>
      <c r="D18" s="26"/>
      <c r="E18" s="14"/>
    </row>
    <row r="19" spans="1:5" x14ac:dyDescent="0.35">
      <c r="A19" s="26"/>
      <c r="B19" s="26"/>
      <c r="C19" s="13"/>
      <c r="D19" s="26"/>
      <c r="E19" s="14"/>
    </row>
    <row r="20" spans="1:5" ht="17" thickBot="1" x14ac:dyDescent="0.4">
      <c r="A20" s="27"/>
      <c r="B20" s="27"/>
      <c r="C20" s="16" t="s">
        <v>77</v>
      </c>
      <c r="D20" s="27"/>
      <c r="E20" s="14"/>
    </row>
    <row r="21" spans="1:5" x14ac:dyDescent="0.35">
      <c r="A21" s="25" t="s">
        <v>49</v>
      </c>
      <c r="B21" s="25" t="s">
        <v>57</v>
      </c>
      <c r="C21" s="11" t="s">
        <v>58</v>
      </c>
      <c r="D21" s="25" t="s">
        <v>139</v>
      </c>
      <c r="E21" s="14"/>
    </row>
    <row r="22" spans="1:5" x14ac:dyDescent="0.35">
      <c r="A22" s="26"/>
      <c r="B22" s="26"/>
      <c r="C22" s="13"/>
      <c r="D22" s="26"/>
    </row>
    <row r="23" spans="1:5" ht="17" thickBot="1" x14ac:dyDescent="0.4">
      <c r="A23" s="27"/>
      <c r="B23" s="27"/>
      <c r="C23" s="16" t="s">
        <v>78</v>
      </c>
      <c r="D23" s="27"/>
    </row>
    <row r="24" spans="1:5" x14ac:dyDescent="0.35">
      <c r="A24" s="42"/>
      <c r="B24" s="42"/>
      <c r="C24" s="42"/>
      <c r="D24" s="42"/>
    </row>
    <row r="26" spans="1:5" x14ac:dyDescent="0.35">
      <c r="A26" s="17" t="s">
        <v>59</v>
      </c>
    </row>
    <row r="27" spans="1:5" ht="17" thickBot="1" x14ac:dyDescent="0.4">
      <c r="A27" s="28" t="s">
        <v>141</v>
      </c>
      <c r="B27" s="28"/>
    </row>
    <row r="28" spans="1:5" ht="17" thickBot="1" x14ac:dyDescent="0.4">
      <c r="A28" s="9" t="s">
        <v>60</v>
      </c>
      <c r="B28" s="9" t="s">
        <v>79</v>
      </c>
      <c r="C28" s="9" t="s">
        <v>80</v>
      </c>
      <c r="D28" s="9" t="s">
        <v>81</v>
      </c>
    </row>
    <row r="29" spans="1:5" ht="17" thickBot="1" x14ac:dyDescent="0.4">
      <c r="A29" s="18" t="s">
        <v>50</v>
      </c>
      <c r="B29" s="18" t="s">
        <v>82</v>
      </c>
      <c r="C29" s="18" t="s">
        <v>83</v>
      </c>
      <c r="D29" s="18" t="s">
        <v>84</v>
      </c>
    </row>
    <row r="30" spans="1:5" ht="17" thickBot="1" x14ac:dyDescent="0.4">
      <c r="A30" s="18" t="s">
        <v>51</v>
      </c>
      <c r="B30" s="18" t="s">
        <v>85</v>
      </c>
      <c r="C30" s="18" t="s">
        <v>61</v>
      </c>
      <c r="D30" s="18" t="s">
        <v>86</v>
      </c>
    </row>
    <row r="31" spans="1:5" ht="17" thickBot="1" x14ac:dyDescent="0.4">
      <c r="A31" s="18" t="s">
        <v>52</v>
      </c>
      <c r="B31" s="18" t="s">
        <v>87</v>
      </c>
      <c r="C31" s="18" t="s">
        <v>62</v>
      </c>
      <c r="D31" s="18" t="s">
        <v>88</v>
      </c>
    </row>
    <row r="32" spans="1:5" x14ac:dyDescent="0.35">
      <c r="A32" s="42"/>
      <c r="B32" s="42"/>
      <c r="C32" s="42"/>
      <c r="D32" s="42"/>
    </row>
    <row r="34" spans="1:7" ht="17" thickBot="1" x14ac:dyDescent="0.4">
      <c r="A34" s="17" t="s">
        <v>89</v>
      </c>
    </row>
    <row r="35" spans="1:7" ht="17" thickBot="1" x14ac:dyDescent="0.4">
      <c r="A35" s="9" t="s">
        <v>90</v>
      </c>
      <c r="B35" s="9" t="s">
        <v>91</v>
      </c>
      <c r="C35" s="9" t="s">
        <v>92</v>
      </c>
      <c r="D35" s="9" t="s">
        <v>93</v>
      </c>
      <c r="E35" s="9" t="s">
        <v>94</v>
      </c>
      <c r="F35" s="9" t="s">
        <v>95</v>
      </c>
      <c r="G35" s="9" t="s">
        <v>28</v>
      </c>
    </row>
    <row r="36" spans="1:7" x14ac:dyDescent="0.35">
      <c r="A36" s="25" t="s">
        <v>96</v>
      </c>
      <c r="B36" s="25" t="s">
        <v>97</v>
      </c>
      <c r="C36" s="11" t="s">
        <v>123</v>
      </c>
      <c r="D36" s="11" t="s">
        <v>98</v>
      </c>
      <c r="E36" s="25" t="s">
        <v>124</v>
      </c>
      <c r="F36" s="25"/>
      <c r="G36" s="25"/>
    </row>
    <row r="37" spans="1:7" x14ac:dyDescent="0.35">
      <c r="A37" s="26"/>
      <c r="B37" s="26"/>
      <c r="C37" s="13"/>
      <c r="D37" s="13"/>
      <c r="E37" s="26"/>
      <c r="F37" s="26"/>
      <c r="G37" s="26"/>
    </row>
    <row r="38" spans="1:7" ht="17" thickBot="1" x14ac:dyDescent="0.4">
      <c r="A38" s="27"/>
      <c r="B38" s="27"/>
      <c r="C38" s="16" t="s">
        <v>125</v>
      </c>
      <c r="D38" s="16" t="s">
        <v>99</v>
      </c>
      <c r="E38" s="27"/>
      <c r="F38" s="27"/>
      <c r="G38" s="27"/>
    </row>
    <row r="39" spans="1:7" x14ac:dyDescent="0.35">
      <c r="A39" s="25" t="s">
        <v>100</v>
      </c>
      <c r="B39" s="25" t="s">
        <v>101</v>
      </c>
      <c r="C39" s="11" t="s">
        <v>126</v>
      </c>
      <c r="D39" s="11" t="s">
        <v>102</v>
      </c>
      <c r="E39" s="25" t="s">
        <v>127</v>
      </c>
      <c r="F39" s="25"/>
      <c r="G39" s="25"/>
    </row>
    <row r="40" spans="1:7" x14ac:dyDescent="0.35">
      <c r="A40" s="26"/>
      <c r="B40" s="26"/>
      <c r="C40" s="13"/>
      <c r="D40" s="13"/>
      <c r="E40" s="26"/>
      <c r="F40" s="26"/>
      <c r="G40" s="26"/>
    </row>
    <row r="41" spans="1:7" ht="17" thickBot="1" x14ac:dyDescent="0.4">
      <c r="A41" s="27"/>
      <c r="B41" s="27"/>
      <c r="C41" s="16" t="s">
        <v>125</v>
      </c>
      <c r="D41" s="16" t="s">
        <v>99</v>
      </c>
      <c r="E41" s="27"/>
      <c r="F41" s="27"/>
      <c r="G41" s="27"/>
    </row>
    <row r="42" spans="1:7" x14ac:dyDescent="0.35">
      <c r="A42" s="25" t="s">
        <v>103</v>
      </c>
      <c r="B42" s="25" t="s">
        <v>104</v>
      </c>
      <c r="C42" s="11" t="s">
        <v>128</v>
      </c>
      <c r="D42" s="11" t="s">
        <v>105</v>
      </c>
      <c r="E42" s="25" t="s">
        <v>129</v>
      </c>
      <c r="F42" s="25"/>
      <c r="G42" s="25"/>
    </row>
    <row r="43" spans="1:7" x14ac:dyDescent="0.35">
      <c r="A43" s="26"/>
      <c r="B43" s="26"/>
      <c r="C43" s="13"/>
      <c r="D43" s="13"/>
      <c r="E43" s="26"/>
      <c r="F43" s="26"/>
      <c r="G43" s="26"/>
    </row>
    <row r="44" spans="1:7" ht="17" thickBot="1" x14ac:dyDescent="0.4">
      <c r="A44" s="27"/>
      <c r="B44" s="27"/>
      <c r="C44" s="16" t="s">
        <v>130</v>
      </c>
      <c r="D44" s="16" t="s">
        <v>106</v>
      </c>
      <c r="E44" s="27"/>
      <c r="F44" s="27"/>
      <c r="G44" s="27"/>
    </row>
    <row r="45" spans="1:7" x14ac:dyDescent="0.35">
      <c r="A45" s="25" t="s">
        <v>107</v>
      </c>
      <c r="B45" s="25" t="s">
        <v>108</v>
      </c>
      <c r="C45" s="11" t="s">
        <v>131</v>
      </c>
      <c r="D45" s="11" t="s">
        <v>110</v>
      </c>
      <c r="E45" s="25" t="s">
        <v>112</v>
      </c>
      <c r="F45" s="25"/>
      <c r="G45" s="25"/>
    </row>
    <row r="46" spans="1:7" x14ac:dyDescent="0.35">
      <c r="A46" s="26"/>
      <c r="B46" s="26"/>
      <c r="C46" s="13"/>
      <c r="D46" s="13"/>
      <c r="E46" s="26"/>
      <c r="F46" s="26"/>
      <c r="G46" s="26"/>
    </row>
    <row r="47" spans="1:7" ht="17" thickBot="1" x14ac:dyDescent="0.4">
      <c r="A47" s="27"/>
      <c r="B47" s="27"/>
      <c r="C47" s="16" t="s">
        <v>109</v>
      </c>
      <c r="D47" s="16" t="s">
        <v>111</v>
      </c>
      <c r="E47" s="27"/>
      <c r="F47" s="27"/>
      <c r="G47" s="27"/>
    </row>
    <row r="48" spans="1:7" x14ac:dyDescent="0.35">
      <c r="A48" s="25" t="s">
        <v>113</v>
      </c>
      <c r="B48" s="25" t="s">
        <v>114</v>
      </c>
      <c r="C48" s="25" t="s">
        <v>132</v>
      </c>
      <c r="D48" s="11" t="s">
        <v>115</v>
      </c>
      <c r="E48" s="25" t="s">
        <v>133</v>
      </c>
      <c r="F48" s="25"/>
      <c r="G48" s="25"/>
    </row>
    <row r="49" spans="1:7" x14ac:dyDescent="0.35">
      <c r="A49" s="26"/>
      <c r="B49" s="26"/>
      <c r="C49" s="26"/>
      <c r="D49" s="13"/>
      <c r="E49" s="26"/>
      <c r="F49" s="26"/>
      <c r="G49" s="26"/>
    </row>
    <row r="50" spans="1:7" x14ac:dyDescent="0.35">
      <c r="A50" s="26"/>
      <c r="B50" s="26"/>
      <c r="C50" s="26"/>
      <c r="D50" s="15" t="s">
        <v>134</v>
      </c>
      <c r="E50" s="26"/>
      <c r="F50" s="26"/>
      <c r="G50" s="26"/>
    </row>
    <row r="51" spans="1:7" x14ac:dyDescent="0.35">
      <c r="A51" s="26"/>
      <c r="B51" s="26"/>
      <c r="C51" s="26"/>
      <c r="D51" s="13"/>
      <c r="E51" s="26"/>
      <c r="F51" s="26"/>
      <c r="G51" s="26"/>
    </row>
    <row r="52" spans="1:7" ht="17" thickBot="1" x14ac:dyDescent="0.4">
      <c r="A52" s="27"/>
      <c r="B52" s="27"/>
      <c r="C52" s="27"/>
      <c r="D52" s="16" t="s">
        <v>116</v>
      </c>
      <c r="E52" s="27"/>
      <c r="F52" s="27"/>
      <c r="G52" s="27"/>
    </row>
    <row r="53" spans="1:7" x14ac:dyDescent="0.35">
      <c r="A53" s="25" t="s">
        <v>117</v>
      </c>
      <c r="B53" s="25" t="s">
        <v>118</v>
      </c>
      <c r="C53" s="11" t="s">
        <v>135</v>
      </c>
      <c r="D53" s="11" t="s">
        <v>120</v>
      </c>
      <c r="E53" s="25" t="s">
        <v>122</v>
      </c>
      <c r="F53" s="25"/>
      <c r="G53" s="25"/>
    </row>
    <row r="54" spans="1:7" x14ac:dyDescent="0.35">
      <c r="A54" s="26"/>
      <c r="B54" s="26"/>
      <c r="C54" s="13"/>
      <c r="D54" s="13"/>
      <c r="E54" s="26"/>
      <c r="F54" s="26"/>
      <c r="G54" s="26"/>
    </row>
    <row r="55" spans="1:7" ht="17" thickBot="1" x14ac:dyDescent="0.4">
      <c r="A55" s="27"/>
      <c r="B55" s="27"/>
      <c r="C55" s="16" t="s">
        <v>119</v>
      </c>
      <c r="D55" s="16" t="s">
        <v>121</v>
      </c>
      <c r="E55" s="27"/>
      <c r="F55" s="27"/>
      <c r="G55" s="27"/>
    </row>
  </sheetData>
  <mergeCells count="45">
    <mergeCell ref="D16:D20"/>
    <mergeCell ref="A21:A23"/>
    <mergeCell ref="B21:B23"/>
    <mergeCell ref="D21:D23"/>
    <mergeCell ref="A4:A8"/>
    <mergeCell ref="B4:B8"/>
    <mergeCell ref="D4:D8"/>
    <mergeCell ref="A9:A15"/>
    <mergeCell ref="B9:B15"/>
    <mergeCell ref="D9:D15"/>
    <mergeCell ref="E36:E38"/>
    <mergeCell ref="F36:F38"/>
    <mergeCell ref="G36:G38"/>
    <mergeCell ref="A39:A41"/>
    <mergeCell ref="B39:B41"/>
    <mergeCell ref="E39:E41"/>
    <mergeCell ref="F39:F41"/>
    <mergeCell ref="G39:G41"/>
    <mergeCell ref="E48:E52"/>
    <mergeCell ref="F48:F52"/>
    <mergeCell ref="G48:G52"/>
    <mergeCell ref="A42:A44"/>
    <mergeCell ref="B42:B44"/>
    <mergeCell ref="E42:E44"/>
    <mergeCell ref="F42:F44"/>
    <mergeCell ref="G42:G44"/>
    <mergeCell ref="A45:A47"/>
    <mergeCell ref="B45:B47"/>
    <mergeCell ref="E45:E47"/>
    <mergeCell ref="F45:F47"/>
    <mergeCell ref="G45:G47"/>
    <mergeCell ref="A2:B2"/>
    <mergeCell ref="A27:B27"/>
    <mergeCell ref="A48:A52"/>
    <mergeCell ref="B48:B52"/>
    <mergeCell ref="C48:C52"/>
    <mergeCell ref="A36:A38"/>
    <mergeCell ref="B36:B38"/>
    <mergeCell ref="A16:A20"/>
    <mergeCell ref="B16:B20"/>
    <mergeCell ref="A53:A55"/>
    <mergeCell ref="B53:B55"/>
    <mergeCell ref="E53:E55"/>
    <mergeCell ref="F53:F55"/>
    <mergeCell ref="G53:G5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1C703-A867-48A4-AF61-54AA66C0FB72}">
  <dimension ref="A1:H42"/>
  <sheetViews>
    <sheetView topLeftCell="A25" workbookViewId="0">
      <selection activeCell="A22" sqref="A22:XFD22"/>
    </sheetView>
  </sheetViews>
  <sheetFormatPr defaultRowHeight="16.5" x14ac:dyDescent="0.35"/>
  <cols>
    <col min="1" max="1" width="38.54296875" style="7" bestFit="1" customWidth="1"/>
    <col min="2" max="2" width="37.6328125" style="7" bestFit="1" customWidth="1"/>
    <col min="3" max="3" width="54" style="7" bestFit="1" customWidth="1"/>
    <col min="4" max="4" width="46.08984375" style="7" bestFit="1" customWidth="1"/>
    <col min="5" max="5" width="38.453125" style="7" bestFit="1" customWidth="1"/>
    <col min="6" max="6" width="73.90625" style="7" bestFit="1" customWidth="1"/>
    <col min="7" max="7" width="24.453125" style="7" bestFit="1" customWidth="1"/>
    <col min="8" max="8" width="18.90625" style="7" bestFit="1" customWidth="1"/>
    <col min="9" max="16384" width="8.7265625" style="7"/>
  </cols>
  <sheetData>
    <row r="1" spans="1:5" x14ac:dyDescent="0.35">
      <c r="A1" s="24" t="s">
        <v>142</v>
      </c>
    </row>
    <row r="2" spans="1:5" ht="32.5" customHeight="1" thickBot="1" x14ac:dyDescent="0.4">
      <c r="A2" s="32" t="s">
        <v>143</v>
      </c>
      <c r="B2" s="32"/>
    </row>
    <row r="3" spans="1:5" ht="17" thickBot="1" x14ac:dyDescent="0.4">
      <c r="A3" s="2" t="s">
        <v>144</v>
      </c>
      <c r="B3" s="2" t="s">
        <v>145</v>
      </c>
      <c r="C3" s="2" t="s">
        <v>146</v>
      </c>
      <c r="D3" s="2" t="s">
        <v>147</v>
      </c>
      <c r="E3" s="2" t="s">
        <v>148</v>
      </c>
    </row>
    <row r="4" spans="1:5" x14ac:dyDescent="0.35">
      <c r="A4" s="29" t="s">
        <v>149</v>
      </c>
      <c r="B4" s="29" t="s">
        <v>202</v>
      </c>
      <c r="C4" s="29" t="s">
        <v>150</v>
      </c>
      <c r="D4" s="3" t="s">
        <v>194</v>
      </c>
      <c r="E4" s="36">
        <v>1234.56</v>
      </c>
    </row>
    <row r="5" spans="1:5" x14ac:dyDescent="0.35">
      <c r="A5" s="30"/>
      <c r="B5" s="30"/>
      <c r="C5" s="30"/>
      <c r="D5" s="5"/>
      <c r="E5" s="37"/>
    </row>
    <row r="6" spans="1:5" ht="17" thickBot="1" x14ac:dyDescent="0.4">
      <c r="A6" s="31"/>
      <c r="B6" s="31"/>
      <c r="C6" s="31"/>
      <c r="D6" s="6" t="s">
        <v>195</v>
      </c>
      <c r="E6" s="38"/>
    </row>
    <row r="7" spans="1:5" ht="17" thickBot="1" x14ac:dyDescent="0.4">
      <c r="A7" s="1"/>
      <c r="B7" s="1"/>
      <c r="C7" s="1" t="s">
        <v>151</v>
      </c>
      <c r="D7" s="1" t="s">
        <v>196</v>
      </c>
      <c r="E7" s="21">
        <v>45291</v>
      </c>
    </row>
    <row r="8" spans="1:5" ht="17" thickBot="1" x14ac:dyDescent="0.4">
      <c r="A8" s="1"/>
      <c r="B8" s="1"/>
      <c r="C8" s="1" t="s">
        <v>152</v>
      </c>
      <c r="D8" s="1" t="s">
        <v>153</v>
      </c>
      <c r="E8" s="1"/>
    </row>
    <row r="9" spans="1:5" x14ac:dyDescent="0.35">
      <c r="A9" s="29" t="s">
        <v>154</v>
      </c>
      <c r="B9" s="29" t="s">
        <v>203</v>
      </c>
      <c r="C9" s="29" t="s">
        <v>150</v>
      </c>
      <c r="D9" s="3" t="s">
        <v>197</v>
      </c>
      <c r="E9" s="33" t="s">
        <v>155</v>
      </c>
    </row>
    <row r="10" spans="1:5" x14ac:dyDescent="0.35">
      <c r="A10" s="30"/>
      <c r="B10" s="30"/>
      <c r="C10" s="30"/>
      <c r="D10" s="5"/>
      <c r="E10" s="34"/>
    </row>
    <row r="11" spans="1:5" ht="17" thickBot="1" x14ac:dyDescent="0.4">
      <c r="A11" s="31"/>
      <c r="B11" s="31"/>
      <c r="C11" s="31"/>
      <c r="D11" s="6" t="s">
        <v>198</v>
      </c>
      <c r="E11" s="35"/>
    </row>
    <row r="12" spans="1:5" ht="17" thickBot="1" x14ac:dyDescent="0.4">
      <c r="A12" s="1"/>
      <c r="B12" s="1"/>
      <c r="C12" s="1" t="s">
        <v>151</v>
      </c>
      <c r="D12" s="1" t="s">
        <v>199</v>
      </c>
      <c r="E12" s="22" t="s">
        <v>156</v>
      </c>
    </row>
    <row r="13" spans="1:5" x14ac:dyDescent="0.35">
      <c r="A13" s="29" t="s">
        <v>157</v>
      </c>
      <c r="B13" s="29" t="s">
        <v>204</v>
      </c>
      <c r="C13" s="29" t="s">
        <v>150</v>
      </c>
      <c r="D13" s="3" t="s">
        <v>197</v>
      </c>
      <c r="E13" s="33" t="s">
        <v>158</v>
      </c>
    </row>
    <row r="14" spans="1:5" x14ac:dyDescent="0.35">
      <c r="A14" s="30"/>
      <c r="B14" s="30"/>
      <c r="C14" s="30"/>
      <c r="D14" s="5"/>
      <c r="E14" s="34"/>
    </row>
    <row r="15" spans="1:5" x14ac:dyDescent="0.35">
      <c r="A15" s="30"/>
      <c r="B15" s="30"/>
      <c r="C15" s="30"/>
      <c r="D15" s="4" t="s">
        <v>200</v>
      </c>
      <c r="E15" s="34"/>
    </row>
    <row r="16" spans="1:5" x14ac:dyDescent="0.35">
      <c r="A16" s="30"/>
      <c r="B16" s="30"/>
      <c r="C16" s="30"/>
      <c r="D16" s="5"/>
      <c r="E16" s="34"/>
    </row>
    <row r="17" spans="1:8" ht="17" thickBot="1" x14ac:dyDescent="0.4">
      <c r="A17" s="31"/>
      <c r="B17" s="31"/>
      <c r="C17" s="31"/>
      <c r="D17" s="6" t="s">
        <v>198</v>
      </c>
      <c r="E17" s="35"/>
    </row>
    <row r="18" spans="1:8" ht="17" thickBot="1" x14ac:dyDescent="0.4">
      <c r="A18" s="1"/>
      <c r="B18" s="1"/>
      <c r="C18" s="1" t="s">
        <v>151</v>
      </c>
      <c r="D18" s="1" t="s">
        <v>199</v>
      </c>
      <c r="E18" s="22" t="s">
        <v>156</v>
      </c>
    </row>
    <row r="19" spans="1:8" x14ac:dyDescent="0.35">
      <c r="A19" s="29" t="s">
        <v>159</v>
      </c>
      <c r="B19" s="29" t="s">
        <v>205</v>
      </c>
      <c r="C19" s="29" t="s">
        <v>160</v>
      </c>
      <c r="D19" s="3" t="s">
        <v>206</v>
      </c>
      <c r="E19" s="29" t="s">
        <v>161</v>
      </c>
    </row>
    <row r="20" spans="1:8" x14ac:dyDescent="0.35">
      <c r="A20" s="30"/>
      <c r="B20" s="30"/>
      <c r="C20" s="30"/>
      <c r="D20" s="5"/>
      <c r="E20" s="30"/>
    </row>
    <row r="21" spans="1:8" ht="17" thickBot="1" x14ac:dyDescent="0.4">
      <c r="A21" s="31"/>
      <c r="B21" s="31"/>
      <c r="C21" s="31"/>
      <c r="D21" s="6" t="s">
        <v>201</v>
      </c>
      <c r="E21" s="31"/>
    </row>
    <row r="22" spans="1:8" x14ac:dyDescent="0.35">
      <c r="A22" s="76"/>
      <c r="B22" s="76"/>
      <c r="C22" s="76"/>
      <c r="D22" s="76"/>
      <c r="E22" s="76"/>
    </row>
    <row r="24" spans="1:8" ht="17" thickBot="1" x14ac:dyDescent="0.4">
      <c r="A24" s="24" t="s">
        <v>162</v>
      </c>
    </row>
    <row r="25" spans="1:8" ht="17" thickBot="1" x14ac:dyDescent="0.4">
      <c r="A25" s="2" t="s">
        <v>90</v>
      </c>
      <c r="B25" s="2" t="s">
        <v>163</v>
      </c>
      <c r="C25" s="2" t="s">
        <v>91</v>
      </c>
      <c r="D25" s="2" t="s">
        <v>92</v>
      </c>
      <c r="E25" s="2" t="s">
        <v>93</v>
      </c>
      <c r="F25" s="2" t="s">
        <v>94</v>
      </c>
      <c r="G25" s="2" t="s">
        <v>95</v>
      </c>
      <c r="H25" s="2" t="s">
        <v>28</v>
      </c>
    </row>
    <row r="26" spans="1:8" x14ac:dyDescent="0.35">
      <c r="A26" s="29" t="s">
        <v>164</v>
      </c>
      <c r="B26" s="29" t="s">
        <v>149</v>
      </c>
      <c r="C26" s="29" t="s">
        <v>165</v>
      </c>
      <c r="D26" s="3" t="s">
        <v>180</v>
      </c>
      <c r="E26" s="3" t="s">
        <v>181</v>
      </c>
      <c r="F26" s="29" t="s">
        <v>182</v>
      </c>
      <c r="G26" s="29"/>
      <c r="H26" s="29"/>
    </row>
    <row r="27" spans="1:8" x14ac:dyDescent="0.35">
      <c r="A27" s="30"/>
      <c r="B27" s="30"/>
      <c r="C27" s="30"/>
      <c r="D27" s="5"/>
      <c r="E27" s="5"/>
      <c r="F27" s="30"/>
      <c r="G27" s="30"/>
      <c r="H27" s="30"/>
    </row>
    <row r="28" spans="1:8" ht="17" thickBot="1" x14ac:dyDescent="0.4">
      <c r="A28" s="31"/>
      <c r="B28" s="31"/>
      <c r="C28" s="31"/>
      <c r="D28" s="6" t="s">
        <v>183</v>
      </c>
      <c r="E28" s="6" t="s">
        <v>166</v>
      </c>
      <c r="F28" s="31"/>
      <c r="G28" s="31"/>
      <c r="H28" s="31"/>
    </row>
    <row r="29" spans="1:8" x14ac:dyDescent="0.35">
      <c r="A29" s="29" t="s">
        <v>167</v>
      </c>
      <c r="B29" s="29" t="s">
        <v>154</v>
      </c>
      <c r="C29" s="29" t="s">
        <v>168</v>
      </c>
      <c r="D29" s="3" t="s">
        <v>123</v>
      </c>
      <c r="E29" s="3" t="s">
        <v>184</v>
      </c>
      <c r="F29" s="29" t="s">
        <v>185</v>
      </c>
      <c r="G29" s="29"/>
      <c r="H29" s="29"/>
    </row>
    <row r="30" spans="1:8" x14ac:dyDescent="0.35">
      <c r="A30" s="30"/>
      <c r="B30" s="30"/>
      <c r="C30" s="30"/>
      <c r="D30" s="5"/>
      <c r="E30" s="5"/>
      <c r="F30" s="30"/>
      <c r="G30" s="30"/>
      <c r="H30" s="30"/>
    </row>
    <row r="31" spans="1:8" ht="17" thickBot="1" x14ac:dyDescent="0.4">
      <c r="A31" s="31"/>
      <c r="B31" s="31"/>
      <c r="C31" s="31"/>
      <c r="D31" s="6" t="s">
        <v>183</v>
      </c>
      <c r="E31" s="6" t="s">
        <v>169</v>
      </c>
      <c r="F31" s="31"/>
      <c r="G31" s="31"/>
      <c r="H31" s="31"/>
    </row>
    <row r="32" spans="1:8" x14ac:dyDescent="0.35">
      <c r="A32" s="29" t="s">
        <v>170</v>
      </c>
      <c r="B32" s="29" t="s">
        <v>157</v>
      </c>
      <c r="C32" s="29" t="s">
        <v>171</v>
      </c>
      <c r="D32" s="3" t="s">
        <v>126</v>
      </c>
      <c r="E32" s="3" t="s">
        <v>186</v>
      </c>
      <c r="F32" s="29" t="s">
        <v>187</v>
      </c>
      <c r="G32" s="29"/>
      <c r="H32" s="29"/>
    </row>
    <row r="33" spans="1:8" x14ac:dyDescent="0.35">
      <c r="A33" s="30"/>
      <c r="B33" s="30"/>
      <c r="C33" s="30"/>
      <c r="D33" s="5"/>
      <c r="E33" s="5"/>
      <c r="F33" s="30"/>
      <c r="G33" s="30"/>
      <c r="H33" s="30"/>
    </row>
    <row r="34" spans="1:8" ht="17" thickBot="1" x14ac:dyDescent="0.4">
      <c r="A34" s="31"/>
      <c r="B34" s="31"/>
      <c r="C34" s="31"/>
      <c r="D34" s="6" t="s">
        <v>183</v>
      </c>
      <c r="E34" s="6" t="s">
        <v>169</v>
      </c>
      <c r="F34" s="31"/>
      <c r="G34" s="31"/>
      <c r="H34" s="31"/>
    </row>
    <row r="35" spans="1:8" x14ac:dyDescent="0.35">
      <c r="A35" s="29" t="s">
        <v>172</v>
      </c>
      <c r="B35" s="29" t="s">
        <v>173</v>
      </c>
      <c r="C35" s="29" t="s">
        <v>174</v>
      </c>
      <c r="D35" s="29" t="s">
        <v>130</v>
      </c>
      <c r="E35" s="3" t="s">
        <v>175</v>
      </c>
      <c r="F35" s="3" t="s">
        <v>188</v>
      </c>
      <c r="G35" s="29"/>
      <c r="H35" s="29"/>
    </row>
    <row r="36" spans="1:8" x14ac:dyDescent="0.35">
      <c r="A36" s="30"/>
      <c r="B36" s="30"/>
      <c r="C36" s="30"/>
      <c r="D36" s="30"/>
      <c r="E36" s="5"/>
      <c r="F36" s="5"/>
      <c r="G36" s="30"/>
      <c r="H36" s="30"/>
    </row>
    <row r="37" spans="1:8" x14ac:dyDescent="0.35">
      <c r="A37" s="30"/>
      <c r="B37" s="30"/>
      <c r="C37" s="30"/>
      <c r="D37" s="30"/>
      <c r="E37" s="4" t="s">
        <v>176</v>
      </c>
      <c r="F37" s="4" t="s">
        <v>189</v>
      </c>
      <c r="G37" s="30"/>
      <c r="H37" s="30"/>
    </row>
    <row r="38" spans="1:8" x14ac:dyDescent="0.35">
      <c r="A38" s="30"/>
      <c r="B38" s="30"/>
      <c r="C38" s="30"/>
      <c r="D38" s="30"/>
      <c r="E38" s="5"/>
      <c r="F38" s="5"/>
      <c r="G38" s="30"/>
      <c r="H38" s="30"/>
    </row>
    <row r="39" spans="1:8" ht="17" thickBot="1" x14ac:dyDescent="0.4">
      <c r="A39" s="31"/>
      <c r="B39" s="31"/>
      <c r="C39" s="31"/>
      <c r="D39" s="31"/>
      <c r="E39" s="23"/>
      <c r="F39" s="6" t="s">
        <v>177</v>
      </c>
      <c r="G39" s="31"/>
      <c r="H39" s="31"/>
    </row>
    <row r="40" spans="1:8" x14ac:dyDescent="0.35">
      <c r="A40" s="29" t="s">
        <v>178</v>
      </c>
      <c r="B40" s="29" t="s">
        <v>159</v>
      </c>
      <c r="C40" s="29" t="s">
        <v>179</v>
      </c>
      <c r="D40" s="29" t="s">
        <v>190</v>
      </c>
      <c r="E40" s="3" t="s">
        <v>191</v>
      </c>
      <c r="F40" s="29" t="s">
        <v>192</v>
      </c>
      <c r="G40" s="29"/>
      <c r="H40" s="29"/>
    </row>
    <row r="41" spans="1:8" x14ac:dyDescent="0.35">
      <c r="A41" s="30"/>
      <c r="B41" s="30"/>
      <c r="C41" s="30"/>
      <c r="D41" s="30"/>
      <c r="E41" s="5"/>
      <c r="F41" s="30"/>
      <c r="G41" s="30"/>
      <c r="H41" s="30"/>
    </row>
    <row r="42" spans="1:8" ht="17" thickBot="1" x14ac:dyDescent="0.4">
      <c r="A42" s="31"/>
      <c r="B42" s="31"/>
      <c r="C42" s="31"/>
      <c r="D42" s="31"/>
      <c r="E42" s="6" t="s">
        <v>193</v>
      </c>
      <c r="F42" s="31"/>
      <c r="G42" s="31"/>
      <c r="H42" s="31"/>
    </row>
  </sheetData>
  <mergeCells count="48">
    <mergeCell ref="A4:A6"/>
    <mergeCell ref="B4:B6"/>
    <mergeCell ref="C4:C6"/>
    <mergeCell ref="E4:E6"/>
    <mergeCell ref="A9:A11"/>
    <mergeCell ref="B9:B11"/>
    <mergeCell ref="C9:C11"/>
    <mergeCell ref="E9:E11"/>
    <mergeCell ref="H26:H28"/>
    <mergeCell ref="A13:A17"/>
    <mergeCell ref="B13:B17"/>
    <mergeCell ref="C13:C17"/>
    <mergeCell ref="E13:E17"/>
    <mergeCell ref="A19:A21"/>
    <mergeCell ref="B19:B21"/>
    <mergeCell ref="C19:C21"/>
    <mergeCell ref="E19:E21"/>
    <mergeCell ref="A26:A28"/>
    <mergeCell ref="B26:B28"/>
    <mergeCell ref="C26:C28"/>
    <mergeCell ref="F26:F28"/>
    <mergeCell ref="G26:G28"/>
    <mergeCell ref="C32:C34"/>
    <mergeCell ref="F32:F34"/>
    <mergeCell ref="G32:G34"/>
    <mergeCell ref="H32:H34"/>
    <mergeCell ref="A29:A31"/>
    <mergeCell ref="B29:B31"/>
    <mergeCell ref="C29:C31"/>
    <mergeCell ref="F29:F31"/>
    <mergeCell ref="G29:G31"/>
    <mergeCell ref="H29:H31"/>
    <mergeCell ref="H40:H42"/>
    <mergeCell ref="A2:B2"/>
    <mergeCell ref="A40:A42"/>
    <mergeCell ref="B40:B42"/>
    <mergeCell ref="C40:C42"/>
    <mergeCell ref="D40:D42"/>
    <mergeCell ref="F40:F42"/>
    <mergeCell ref="G40:G42"/>
    <mergeCell ref="A35:A39"/>
    <mergeCell ref="B35:B39"/>
    <mergeCell ref="C35:C39"/>
    <mergeCell ref="D35:D39"/>
    <mergeCell ref="G35:G39"/>
    <mergeCell ref="H35:H39"/>
    <mergeCell ref="A32:A34"/>
    <mergeCell ref="B32:B3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77094-0A89-421A-AB79-188F9C7050EB}">
  <dimension ref="A1:I49"/>
  <sheetViews>
    <sheetView zoomScale="70" zoomScaleNormal="70" workbookViewId="0">
      <selection activeCell="H38" sqref="H38"/>
    </sheetView>
  </sheetViews>
  <sheetFormatPr defaultRowHeight="16.5" x14ac:dyDescent="0.35"/>
  <cols>
    <col min="1" max="1" width="12" style="70" bestFit="1" customWidth="1"/>
    <col min="2" max="2" width="35" style="70" bestFit="1" customWidth="1"/>
    <col min="3" max="3" width="15" style="70" bestFit="1" customWidth="1"/>
    <col min="4" max="4" width="11.453125" style="70" bestFit="1" customWidth="1"/>
    <col min="5" max="5" width="17.36328125" style="70" bestFit="1" customWidth="1"/>
    <col min="6" max="6" width="44.36328125" style="70" bestFit="1" customWidth="1"/>
    <col min="7" max="7" width="64.1796875" style="70" customWidth="1"/>
    <col min="8" max="8" width="70.1796875" style="70" bestFit="1" customWidth="1"/>
    <col min="9" max="9" width="66.81640625" style="70" bestFit="1" customWidth="1"/>
    <col min="10" max="16384" width="8.7265625" style="70"/>
  </cols>
  <sheetData>
    <row r="1" spans="1:9" x14ac:dyDescent="0.35">
      <c r="A1" s="68" t="s">
        <v>307</v>
      </c>
      <c r="B1" s="69"/>
      <c r="C1" s="69"/>
      <c r="D1" s="69"/>
      <c r="E1" s="69"/>
      <c r="F1" s="69"/>
      <c r="G1" s="69"/>
      <c r="H1" s="69"/>
      <c r="I1" s="69"/>
    </row>
    <row r="2" spans="1:9" x14ac:dyDescent="0.35">
      <c r="A2" s="41"/>
      <c r="B2" s="41"/>
      <c r="C2" s="86"/>
      <c r="D2" s="41"/>
      <c r="E2" s="41"/>
      <c r="F2" s="41"/>
      <c r="G2" s="41"/>
      <c r="H2" s="41"/>
      <c r="I2" s="49"/>
    </row>
    <row r="3" spans="1:9" x14ac:dyDescent="0.35">
      <c r="A3" s="87" t="s">
        <v>221</v>
      </c>
      <c r="B3" s="49" t="s">
        <v>222</v>
      </c>
      <c r="C3" s="49"/>
      <c r="D3" s="49"/>
      <c r="E3" s="87" t="s">
        <v>223</v>
      </c>
      <c r="F3" s="49" t="s">
        <v>224</v>
      </c>
      <c r="G3" s="49"/>
      <c r="H3" s="87" t="s">
        <v>225</v>
      </c>
      <c r="I3" s="49" t="s">
        <v>226</v>
      </c>
    </row>
    <row r="4" spans="1:9" x14ac:dyDescent="0.35">
      <c r="A4" s="41"/>
      <c r="B4" s="41"/>
      <c r="C4" s="86"/>
      <c r="D4" s="41"/>
      <c r="E4" s="41"/>
      <c r="F4" s="41"/>
      <c r="G4" s="41"/>
      <c r="H4" s="41"/>
      <c r="I4" s="49"/>
    </row>
    <row r="5" spans="1:9" x14ac:dyDescent="0.35">
      <c r="A5" s="88" t="s">
        <v>227</v>
      </c>
      <c r="B5" s="89"/>
      <c r="C5" s="89"/>
      <c r="D5" s="89"/>
      <c r="E5" s="89"/>
      <c r="F5" s="89"/>
      <c r="G5" s="89"/>
      <c r="H5" s="89"/>
      <c r="I5" s="89"/>
    </row>
    <row r="6" spans="1:9" x14ac:dyDescent="0.35">
      <c r="A6" s="71" t="s">
        <v>228</v>
      </c>
      <c r="B6" s="71" t="s">
        <v>229</v>
      </c>
      <c r="C6" s="71" t="s">
        <v>230</v>
      </c>
      <c r="D6" s="71" t="s">
        <v>231</v>
      </c>
      <c r="E6" s="71" t="s">
        <v>232</v>
      </c>
      <c r="F6" s="71" t="s">
        <v>233</v>
      </c>
      <c r="G6" s="71" t="s">
        <v>234</v>
      </c>
      <c r="H6" s="71" t="s">
        <v>235</v>
      </c>
      <c r="I6" s="71" t="s">
        <v>236</v>
      </c>
    </row>
    <row r="7" spans="1:9" x14ac:dyDescent="0.35">
      <c r="A7" s="72">
        <v>1</v>
      </c>
      <c r="B7" s="72" t="s">
        <v>237</v>
      </c>
      <c r="C7" s="72" t="s">
        <v>238</v>
      </c>
      <c r="D7" s="73" t="s">
        <v>207</v>
      </c>
      <c r="E7" s="72" t="s">
        <v>239</v>
      </c>
      <c r="F7" s="72" t="s">
        <v>240</v>
      </c>
      <c r="G7" s="72" t="s">
        <v>244</v>
      </c>
      <c r="H7" s="72" t="s">
        <v>241</v>
      </c>
      <c r="I7" s="90" t="s">
        <v>313</v>
      </c>
    </row>
    <row r="8" spans="1:9" x14ac:dyDescent="0.35">
      <c r="A8" s="72">
        <v>2</v>
      </c>
      <c r="B8" s="72" t="s">
        <v>237</v>
      </c>
      <c r="C8" s="72" t="s">
        <v>242</v>
      </c>
      <c r="D8" s="74" t="s">
        <v>208</v>
      </c>
      <c r="E8" s="72" t="s">
        <v>243</v>
      </c>
      <c r="F8" s="72" t="s">
        <v>244</v>
      </c>
      <c r="G8" s="72" t="s">
        <v>244</v>
      </c>
      <c r="H8" s="72"/>
      <c r="I8" s="90" t="s">
        <v>314</v>
      </c>
    </row>
    <row r="9" spans="1:9" x14ac:dyDescent="0.35">
      <c r="A9" s="72">
        <v>3</v>
      </c>
      <c r="B9" s="72" t="s">
        <v>237</v>
      </c>
      <c r="C9" s="72" t="s">
        <v>63</v>
      </c>
      <c r="D9" s="73" t="s">
        <v>207</v>
      </c>
      <c r="E9" s="72" t="s">
        <v>245</v>
      </c>
      <c r="F9" s="72" t="s">
        <v>246</v>
      </c>
      <c r="G9" s="72" t="s">
        <v>244</v>
      </c>
      <c r="H9" s="72" t="s">
        <v>247</v>
      </c>
      <c r="I9" s="90" t="s">
        <v>315</v>
      </c>
    </row>
    <row r="10" spans="1:9" x14ac:dyDescent="0.35">
      <c r="A10" s="72">
        <v>4</v>
      </c>
      <c r="B10" s="72" t="s">
        <v>237</v>
      </c>
      <c r="C10" s="72" t="s">
        <v>248</v>
      </c>
      <c r="D10" s="73" t="s">
        <v>207</v>
      </c>
      <c r="E10" s="72" t="s">
        <v>249</v>
      </c>
      <c r="F10" s="72" t="s">
        <v>250</v>
      </c>
      <c r="G10" s="72" t="s">
        <v>244</v>
      </c>
      <c r="H10" s="72" t="s">
        <v>251</v>
      </c>
      <c r="I10" s="90" t="s">
        <v>313</v>
      </c>
    </row>
    <row r="11" spans="1:9" x14ac:dyDescent="0.35">
      <c r="A11" s="72">
        <v>5</v>
      </c>
      <c r="B11" s="72" t="s">
        <v>252</v>
      </c>
      <c r="C11" s="72" t="s">
        <v>238</v>
      </c>
      <c r="D11" s="75" t="s">
        <v>253</v>
      </c>
      <c r="E11" s="72" t="s">
        <v>254</v>
      </c>
      <c r="F11" s="72" t="s">
        <v>255</v>
      </c>
      <c r="G11" s="90" t="s">
        <v>316</v>
      </c>
      <c r="H11" s="90" t="s">
        <v>317</v>
      </c>
      <c r="I11" s="90" t="s">
        <v>309</v>
      </c>
    </row>
    <row r="12" spans="1:9" x14ac:dyDescent="0.35">
      <c r="A12" s="72">
        <v>6</v>
      </c>
      <c r="B12" s="72" t="s">
        <v>252</v>
      </c>
      <c r="C12" s="72" t="s">
        <v>242</v>
      </c>
      <c r="D12" s="75" t="s">
        <v>253</v>
      </c>
      <c r="E12" s="72" t="s">
        <v>256</v>
      </c>
      <c r="F12" s="72" t="s">
        <v>257</v>
      </c>
      <c r="G12" s="90" t="s">
        <v>316</v>
      </c>
      <c r="H12" s="90" t="s">
        <v>317</v>
      </c>
      <c r="I12" s="90" t="s">
        <v>309</v>
      </c>
    </row>
    <row r="13" spans="1:9" x14ac:dyDescent="0.35">
      <c r="A13" s="72">
        <v>7</v>
      </c>
      <c r="B13" s="72" t="s">
        <v>252</v>
      </c>
      <c r="C13" s="72" t="s">
        <v>63</v>
      </c>
      <c r="D13" s="75" t="s">
        <v>253</v>
      </c>
      <c r="E13" s="72" t="s">
        <v>258</v>
      </c>
      <c r="F13" s="72" t="s">
        <v>257</v>
      </c>
      <c r="G13" s="90" t="s">
        <v>316</v>
      </c>
      <c r="H13" s="90" t="s">
        <v>317</v>
      </c>
      <c r="I13" s="90" t="s">
        <v>309</v>
      </c>
    </row>
    <row r="14" spans="1:9" x14ac:dyDescent="0.35">
      <c r="A14" s="72">
        <v>8</v>
      </c>
      <c r="B14" s="72" t="s">
        <v>252</v>
      </c>
      <c r="C14" s="72" t="s">
        <v>248</v>
      </c>
      <c r="D14" s="75" t="s">
        <v>253</v>
      </c>
      <c r="E14" s="72" t="s">
        <v>259</v>
      </c>
      <c r="F14" s="72" t="s">
        <v>257</v>
      </c>
      <c r="G14" s="90" t="s">
        <v>316</v>
      </c>
      <c r="H14" s="90" t="s">
        <v>317</v>
      </c>
      <c r="I14" s="90" t="s">
        <v>309</v>
      </c>
    </row>
    <row r="15" spans="1:9" x14ac:dyDescent="0.35">
      <c r="A15" s="72">
        <v>9</v>
      </c>
      <c r="B15" s="72" t="s">
        <v>260</v>
      </c>
      <c r="C15" s="72" t="s">
        <v>238</v>
      </c>
      <c r="D15" s="74" t="s">
        <v>208</v>
      </c>
      <c r="E15" s="72" t="s">
        <v>261</v>
      </c>
      <c r="F15" s="90" t="s">
        <v>322</v>
      </c>
      <c r="G15" s="72" t="s">
        <v>262</v>
      </c>
      <c r="H15" s="72"/>
      <c r="I15" s="90" t="s">
        <v>310</v>
      </c>
    </row>
    <row r="16" spans="1:9" x14ac:dyDescent="0.35">
      <c r="A16" s="72">
        <v>10</v>
      </c>
      <c r="B16" s="72" t="s">
        <v>260</v>
      </c>
      <c r="C16" s="72" t="s">
        <v>242</v>
      </c>
      <c r="D16" s="74" t="s">
        <v>208</v>
      </c>
      <c r="E16" s="72" t="s">
        <v>263</v>
      </c>
      <c r="F16" s="90" t="s">
        <v>322</v>
      </c>
      <c r="G16" s="72" t="s">
        <v>262</v>
      </c>
      <c r="H16" s="72"/>
      <c r="I16" s="90" t="s">
        <v>310</v>
      </c>
    </row>
    <row r="17" spans="1:9" x14ac:dyDescent="0.35">
      <c r="A17" s="72">
        <v>11</v>
      </c>
      <c r="B17" s="72" t="s">
        <v>260</v>
      </c>
      <c r="C17" s="72" t="s">
        <v>63</v>
      </c>
      <c r="D17" s="74" t="s">
        <v>208</v>
      </c>
      <c r="E17" s="72" t="s">
        <v>264</v>
      </c>
      <c r="F17" s="90" t="s">
        <v>322</v>
      </c>
      <c r="G17" s="72" t="s">
        <v>262</v>
      </c>
      <c r="H17" s="72"/>
      <c r="I17" s="90" t="s">
        <v>310</v>
      </c>
    </row>
    <row r="18" spans="1:9" x14ac:dyDescent="0.35">
      <c r="A18" s="72">
        <v>12</v>
      </c>
      <c r="B18" s="72" t="s">
        <v>260</v>
      </c>
      <c r="C18" s="72" t="s">
        <v>248</v>
      </c>
      <c r="D18" s="73" t="s">
        <v>207</v>
      </c>
      <c r="E18" s="72" t="s">
        <v>265</v>
      </c>
      <c r="F18" s="90" t="s">
        <v>321</v>
      </c>
      <c r="G18" s="72" t="s">
        <v>266</v>
      </c>
      <c r="H18" s="72" t="s">
        <v>267</v>
      </c>
      <c r="I18" s="90" t="s">
        <v>318</v>
      </c>
    </row>
    <row r="19" spans="1:9" x14ac:dyDescent="0.35">
      <c r="A19" s="72">
        <v>13</v>
      </c>
      <c r="B19" s="72" t="s">
        <v>268</v>
      </c>
      <c r="C19" s="72" t="s">
        <v>238</v>
      </c>
      <c r="D19" s="74" t="s">
        <v>208</v>
      </c>
      <c r="E19" s="72" t="s">
        <v>269</v>
      </c>
      <c r="F19" s="90" t="s">
        <v>319</v>
      </c>
      <c r="G19" s="72" t="s">
        <v>270</v>
      </c>
      <c r="H19" s="72"/>
      <c r="I19" s="90" t="s">
        <v>320</v>
      </c>
    </row>
    <row r="20" spans="1:9" x14ac:dyDescent="0.35">
      <c r="A20" s="72">
        <v>14</v>
      </c>
      <c r="B20" s="72" t="s">
        <v>268</v>
      </c>
      <c r="C20" s="72" t="s">
        <v>242</v>
      </c>
      <c r="D20" s="74" t="s">
        <v>208</v>
      </c>
      <c r="E20" s="72" t="s">
        <v>269</v>
      </c>
      <c r="F20" s="90" t="s">
        <v>319</v>
      </c>
      <c r="G20" s="72" t="s">
        <v>270</v>
      </c>
      <c r="H20" s="72"/>
      <c r="I20" s="90" t="s">
        <v>320</v>
      </c>
    </row>
    <row r="21" spans="1:9" x14ac:dyDescent="0.35">
      <c r="A21" s="72">
        <v>15</v>
      </c>
      <c r="B21" s="72" t="s">
        <v>268</v>
      </c>
      <c r="C21" s="72" t="s">
        <v>63</v>
      </c>
      <c r="D21" s="74" t="s">
        <v>208</v>
      </c>
      <c r="E21" s="72" t="s">
        <v>271</v>
      </c>
      <c r="F21" s="90" t="s">
        <v>319</v>
      </c>
      <c r="G21" s="72" t="s">
        <v>270</v>
      </c>
      <c r="H21" s="72"/>
      <c r="I21" s="90" t="s">
        <v>320</v>
      </c>
    </row>
    <row r="22" spans="1:9" x14ac:dyDescent="0.35">
      <c r="A22" s="72">
        <v>16</v>
      </c>
      <c r="B22" s="72" t="s">
        <v>268</v>
      </c>
      <c r="C22" s="72" t="s">
        <v>248</v>
      </c>
      <c r="D22" s="74" t="s">
        <v>208</v>
      </c>
      <c r="E22" s="72" t="s">
        <v>272</v>
      </c>
      <c r="F22" s="90" t="s">
        <v>319</v>
      </c>
      <c r="G22" s="72" t="s">
        <v>270</v>
      </c>
      <c r="H22" s="72"/>
      <c r="I22" s="90" t="s">
        <v>320</v>
      </c>
    </row>
    <row r="23" spans="1:9" x14ac:dyDescent="0.35">
      <c r="A23" s="72">
        <v>17</v>
      </c>
      <c r="B23" s="72" t="s">
        <v>273</v>
      </c>
      <c r="C23" s="72" t="s">
        <v>238</v>
      </c>
      <c r="D23" s="75" t="s">
        <v>253</v>
      </c>
      <c r="E23" s="72" t="s">
        <v>274</v>
      </c>
      <c r="F23" s="90" t="s">
        <v>323</v>
      </c>
      <c r="G23" s="72" t="s">
        <v>324</v>
      </c>
      <c r="H23" s="72"/>
      <c r="I23" s="90" t="s">
        <v>325</v>
      </c>
    </row>
    <row r="24" spans="1:9" x14ac:dyDescent="0.35">
      <c r="A24" s="72">
        <v>18</v>
      </c>
      <c r="B24" s="72" t="s">
        <v>273</v>
      </c>
      <c r="C24" s="72" t="s">
        <v>242</v>
      </c>
      <c r="D24" s="74" t="s">
        <v>208</v>
      </c>
      <c r="E24" s="72" t="s">
        <v>275</v>
      </c>
      <c r="F24" s="90" t="s">
        <v>326</v>
      </c>
      <c r="G24" s="90" t="s">
        <v>327</v>
      </c>
      <c r="H24" s="72"/>
      <c r="I24" s="90" t="s">
        <v>311</v>
      </c>
    </row>
    <row r="25" spans="1:9" x14ac:dyDescent="0.35">
      <c r="A25" s="72">
        <v>19</v>
      </c>
      <c r="B25" s="72" t="s">
        <v>273</v>
      </c>
      <c r="C25" s="72" t="s">
        <v>63</v>
      </c>
      <c r="D25" s="73" t="s">
        <v>207</v>
      </c>
      <c r="E25" s="72" t="s">
        <v>276</v>
      </c>
      <c r="F25" s="90" t="s">
        <v>326</v>
      </c>
      <c r="G25" s="90" t="s">
        <v>328</v>
      </c>
      <c r="H25" s="72" t="s">
        <v>277</v>
      </c>
      <c r="I25" s="90" t="s">
        <v>330</v>
      </c>
    </row>
    <row r="26" spans="1:9" x14ac:dyDescent="0.35">
      <c r="A26" s="72">
        <v>20</v>
      </c>
      <c r="B26" s="72" t="s">
        <v>273</v>
      </c>
      <c r="C26" s="72" t="s">
        <v>248</v>
      </c>
      <c r="D26" s="73" t="s">
        <v>207</v>
      </c>
      <c r="E26" s="72" t="s">
        <v>278</v>
      </c>
      <c r="F26" s="90" t="s">
        <v>326</v>
      </c>
      <c r="G26" s="90" t="s">
        <v>329</v>
      </c>
      <c r="H26" s="72" t="s">
        <v>279</v>
      </c>
      <c r="I26" s="90" t="s">
        <v>312</v>
      </c>
    </row>
    <row r="27" spans="1:9" x14ac:dyDescent="0.35">
      <c r="A27" s="72">
        <v>21</v>
      </c>
      <c r="B27" s="72" t="s">
        <v>280</v>
      </c>
      <c r="C27" s="72" t="s">
        <v>238</v>
      </c>
      <c r="D27" s="74" t="s">
        <v>208</v>
      </c>
      <c r="E27" s="72" t="s">
        <v>281</v>
      </c>
      <c r="F27" s="90" t="s">
        <v>331</v>
      </c>
      <c r="G27" s="90" t="s">
        <v>332</v>
      </c>
      <c r="H27" s="72"/>
      <c r="I27" s="90" t="s">
        <v>336</v>
      </c>
    </row>
    <row r="28" spans="1:9" x14ac:dyDescent="0.35">
      <c r="A28" s="72">
        <v>22</v>
      </c>
      <c r="B28" s="72" t="s">
        <v>280</v>
      </c>
      <c r="C28" s="72" t="s">
        <v>242</v>
      </c>
      <c r="D28" s="74" t="s">
        <v>208</v>
      </c>
      <c r="E28" s="72" t="s">
        <v>263</v>
      </c>
      <c r="F28" s="90" t="s">
        <v>333</v>
      </c>
      <c r="G28" s="90" t="s">
        <v>332</v>
      </c>
      <c r="H28" s="72"/>
      <c r="I28" s="90" t="s">
        <v>337</v>
      </c>
    </row>
    <row r="29" spans="1:9" x14ac:dyDescent="0.35">
      <c r="A29" s="72">
        <v>23</v>
      </c>
      <c r="B29" s="72" t="s">
        <v>280</v>
      </c>
      <c r="C29" s="72" t="s">
        <v>63</v>
      </c>
      <c r="D29" s="74" t="s">
        <v>208</v>
      </c>
      <c r="E29" s="72" t="s">
        <v>282</v>
      </c>
      <c r="F29" s="90" t="s">
        <v>334</v>
      </c>
      <c r="G29" s="90" t="s">
        <v>332</v>
      </c>
      <c r="H29" s="72"/>
      <c r="I29" s="90" t="s">
        <v>338</v>
      </c>
    </row>
    <row r="30" spans="1:9" x14ac:dyDescent="0.35">
      <c r="A30" s="72">
        <v>24</v>
      </c>
      <c r="B30" s="72" t="s">
        <v>280</v>
      </c>
      <c r="C30" s="72" t="s">
        <v>248</v>
      </c>
      <c r="D30" s="74" t="s">
        <v>208</v>
      </c>
      <c r="E30" s="72" t="s">
        <v>276</v>
      </c>
      <c r="F30" s="90" t="s">
        <v>335</v>
      </c>
      <c r="G30" s="90" t="s">
        <v>332</v>
      </c>
      <c r="H30" s="72"/>
      <c r="I30" s="90" t="s">
        <v>339</v>
      </c>
    </row>
    <row r="31" spans="1:9" x14ac:dyDescent="0.35">
      <c r="A31" s="76"/>
      <c r="B31" s="76"/>
      <c r="C31" s="77"/>
      <c r="D31" s="76"/>
      <c r="E31" s="76"/>
      <c r="F31" s="76"/>
      <c r="G31" s="76"/>
      <c r="H31" s="76"/>
    </row>
    <row r="32" spans="1:9" x14ac:dyDescent="0.35">
      <c r="A32" s="76"/>
      <c r="B32" s="76"/>
      <c r="C32" s="77"/>
      <c r="D32" s="76"/>
      <c r="E32" s="76"/>
      <c r="F32" s="76"/>
      <c r="G32" s="76"/>
      <c r="H32" s="76"/>
    </row>
    <row r="33" spans="1:8" x14ac:dyDescent="0.35">
      <c r="A33" s="76"/>
      <c r="B33" s="76"/>
      <c r="C33" s="77"/>
      <c r="D33" s="76"/>
      <c r="E33" s="76"/>
      <c r="F33" s="76"/>
      <c r="G33" s="76"/>
      <c r="H33" s="76"/>
    </row>
    <row r="34" spans="1:8" x14ac:dyDescent="0.35">
      <c r="A34" s="76"/>
      <c r="B34" s="76"/>
      <c r="C34" s="77"/>
      <c r="D34" s="76"/>
      <c r="E34" s="76"/>
      <c r="F34" s="76"/>
      <c r="G34" s="76"/>
      <c r="H34" s="76"/>
    </row>
    <row r="35" spans="1:8" x14ac:dyDescent="0.35">
      <c r="A35" s="76"/>
      <c r="B35" s="76"/>
      <c r="C35" s="77"/>
      <c r="D35" s="76"/>
      <c r="E35" s="76"/>
      <c r="F35" s="76"/>
      <c r="G35" s="76"/>
      <c r="H35" s="76"/>
    </row>
    <row r="36" spans="1:8" x14ac:dyDescent="0.35">
      <c r="A36" s="76"/>
      <c r="B36" s="76"/>
      <c r="C36" s="77"/>
      <c r="D36" s="76"/>
      <c r="E36" s="76"/>
      <c r="F36" s="76"/>
      <c r="G36" s="76"/>
      <c r="H36" s="76"/>
    </row>
    <row r="37" spans="1:8" x14ac:dyDescent="0.35">
      <c r="A37" s="76"/>
      <c r="B37" s="76"/>
      <c r="C37" s="77"/>
      <c r="D37" s="76"/>
      <c r="E37" s="76"/>
      <c r="F37" s="76"/>
      <c r="G37" s="76"/>
      <c r="H37" s="76"/>
    </row>
    <row r="38" spans="1:8" x14ac:dyDescent="0.35">
      <c r="A38" s="76"/>
      <c r="B38" s="76"/>
      <c r="C38" s="77"/>
      <c r="D38" s="76"/>
      <c r="E38" s="76"/>
      <c r="F38" s="76"/>
      <c r="G38" s="76"/>
      <c r="H38" s="76"/>
    </row>
    <row r="39" spans="1:8" x14ac:dyDescent="0.35">
      <c r="A39" s="76"/>
      <c r="B39" s="76"/>
      <c r="C39" s="77"/>
      <c r="D39" s="76"/>
      <c r="E39" s="76"/>
      <c r="F39" s="76"/>
      <c r="G39" s="76"/>
      <c r="H39" s="76"/>
    </row>
    <row r="40" spans="1:8" x14ac:dyDescent="0.35">
      <c r="A40" s="76"/>
      <c r="B40" s="76"/>
      <c r="C40" s="77"/>
      <c r="D40" s="76"/>
      <c r="E40" s="76"/>
      <c r="F40" s="76"/>
      <c r="G40" s="76"/>
      <c r="H40" s="76"/>
    </row>
    <row r="41" spans="1:8" x14ac:dyDescent="0.35">
      <c r="A41" s="76"/>
      <c r="B41" s="76"/>
      <c r="C41" s="77"/>
      <c r="D41" s="76"/>
      <c r="E41" s="76"/>
      <c r="F41" s="76"/>
      <c r="G41" s="76"/>
      <c r="H41" s="76"/>
    </row>
    <row r="42" spans="1:8" x14ac:dyDescent="0.35">
      <c r="A42" s="76"/>
      <c r="B42" s="76"/>
      <c r="C42" s="77"/>
      <c r="D42" s="76"/>
      <c r="E42" s="76"/>
      <c r="F42" s="76"/>
      <c r="G42" s="76"/>
      <c r="H42" s="76"/>
    </row>
    <row r="43" spans="1:8" x14ac:dyDescent="0.35">
      <c r="A43" s="76"/>
      <c r="B43" s="76"/>
      <c r="C43" s="77"/>
      <c r="D43" s="76"/>
      <c r="E43" s="76"/>
      <c r="F43" s="76"/>
      <c r="G43" s="76"/>
      <c r="H43" s="76"/>
    </row>
    <row r="44" spans="1:8" x14ac:dyDescent="0.35">
      <c r="A44" s="76"/>
      <c r="B44" s="76"/>
      <c r="C44" s="77"/>
      <c r="D44" s="76"/>
      <c r="E44" s="76"/>
      <c r="F44" s="76"/>
      <c r="G44" s="76"/>
      <c r="H44" s="76"/>
    </row>
    <row r="45" spans="1:8" x14ac:dyDescent="0.35">
      <c r="A45" s="76"/>
      <c r="B45" s="76"/>
      <c r="C45" s="77"/>
      <c r="D45" s="76"/>
      <c r="E45" s="76"/>
      <c r="F45" s="76"/>
      <c r="G45" s="76"/>
      <c r="H45" s="76"/>
    </row>
    <row r="46" spans="1:8" x14ac:dyDescent="0.35">
      <c r="A46" s="76"/>
      <c r="B46" s="76"/>
      <c r="C46" s="77"/>
      <c r="D46" s="76"/>
      <c r="E46" s="76"/>
      <c r="F46" s="76"/>
      <c r="G46" s="76"/>
      <c r="H46" s="76"/>
    </row>
    <row r="47" spans="1:8" x14ac:dyDescent="0.35">
      <c r="A47" s="76"/>
      <c r="B47" s="76"/>
      <c r="C47" s="77"/>
      <c r="D47" s="76"/>
      <c r="E47" s="76"/>
      <c r="F47" s="76"/>
      <c r="G47" s="76"/>
      <c r="H47" s="76"/>
    </row>
    <row r="48" spans="1:8" x14ac:dyDescent="0.35">
      <c r="A48" s="76"/>
      <c r="B48" s="76"/>
      <c r="C48" s="77"/>
      <c r="D48" s="76"/>
      <c r="E48" s="76"/>
      <c r="F48" s="76"/>
      <c r="G48" s="76"/>
      <c r="H48" s="76"/>
    </row>
    <row r="49" spans="1:8" x14ac:dyDescent="0.35">
      <c r="A49" s="76"/>
      <c r="B49" s="76"/>
      <c r="C49" s="77"/>
      <c r="D49" s="76"/>
      <c r="E49" s="76"/>
      <c r="F49" s="76"/>
      <c r="G49" s="76"/>
      <c r="H49" s="76"/>
    </row>
  </sheetData>
  <mergeCells count="2">
    <mergeCell ref="A1:I1"/>
    <mergeCell ref="A5:I5"/>
  </mergeCell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F5DAD-C211-449B-98B0-3E2F55E5F36F}">
  <dimension ref="A1:N49"/>
  <sheetViews>
    <sheetView tabSelected="1" topLeftCell="A7" zoomScale="55" zoomScaleNormal="55" workbookViewId="0">
      <selection activeCell="L22" sqref="L22"/>
    </sheetView>
  </sheetViews>
  <sheetFormatPr defaultRowHeight="16.5" x14ac:dyDescent="0.35"/>
  <cols>
    <col min="1" max="1" width="12" style="48" bestFit="1" customWidth="1"/>
    <col min="2" max="2" width="14" style="48" bestFit="1" customWidth="1"/>
    <col min="3" max="3" width="15.90625" style="48" customWidth="1"/>
    <col min="4" max="4" width="12" style="48" bestFit="1" customWidth="1"/>
    <col min="5" max="5" width="18.54296875" style="48" bestFit="1" customWidth="1"/>
    <col min="6" max="6" width="25.7265625" style="48" customWidth="1"/>
    <col min="7" max="7" width="62.26953125" style="48" customWidth="1"/>
    <col min="8" max="8" width="40.36328125" style="48" customWidth="1"/>
    <col min="9" max="9" width="47.54296875" style="48" customWidth="1"/>
    <col min="10" max="10" width="27.36328125" style="48" customWidth="1"/>
    <col min="11" max="11" width="32.1796875" style="48" customWidth="1"/>
    <col min="12" max="12" width="39.26953125" style="48" customWidth="1"/>
    <col min="13" max="13" width="44.81640625" style="48" customWidth="1"/>
    <col min="14" max="14" width="14.1796875" style="48" bestFit="1" customWidth="1"/>
    <col min="15" max="16384" width="8.7265625" style="48"/>
  </cols>
  <sheetData>
    <row r="1" spans="1:14" x14ac:dyDescent="0.35">
      <c r="A1" s="78" t="s">
        <v>212</v>
      </c>
    </row>
    <row r="2" spans="1:14" x14ac:dyDescent="0.35">
      <c r="A2" s="8"/>
    </row>
    <row r="3" spans="1:14" x14ac:dyDescent="0.35">
      <c r="A3" s="17" t="s">
        <v>303</v>
      </c>
    </row>
    <row r="4" spans="1:14" x14ac:dyDescent="0.35">
      <c r="A4" s="8"/>
    </row>
    <row r="5" spans="1:14" x14ac:dyDescent="0.35">
      <c r="A5" s="17" t="s">
        <v>304</v>
      </c>
    </row>
    <row r="6" spans="1:14" x14ac:dyDescent="0.35">
      <c r="A6" s="8"/>
    </row>
    <row r="7" spans="1:14" x14ac:dyDescent="0.35">
      <c r="A7" s="17" t="s">
        <v>305</v>
      </c>
    </row>
    <row r="8" spans="1:14" x14ac:dyDescent="0.35">
      <c r="A8" s="8"/>
    </row>
    <row r="9" spans="1:14" x14ac:dyDescent="0.35">
      <c r="A9" s="17" t="s">
        <v>306</v>
      </c>
    </row>
    <row r="11" spans="1:14" x14ac:dyDescent="0.35">
      <c r="A11" s="79" t="s">
        <v>283</v>
      </c>
      <c r="B11" s="80"/>
      <c r="C11" s="80"/>
      <c r="D11" s="80"/>
      <c r="E11" s="80"/>
      <c r="F11" s="80"/>
      <c r="G11" s="80"/>
      <c r="H11" s="80"/>
      <c r="I11" s="80"/>
      <c r="J11" s="80"/>
      <c r="K11" s="80"/>
      <c r="L11" s="80"/>
      <c r="M11" s="80"/>
      <c r="N11" s="80"/>
    </row>
    <row r="12" spans="1:14" ht="33" x14ac:dyDescent="0.35">
      <c r="A12" s="81" t="s">
        <v>213</v>
      </c>
      <c r="B12" s="81" t="s">
        <v>284</v>
      </c>
      <c r="C12" s="81" t="s">
        <v>340</v>
      </c>
      <c r="D12" s="81" t="s">
        <v>209</v>
      </c>
      <c r="E12" s="81" t="s">
        <v>341</v>
      </c>
      <c r="F12" s="81" t="s">
        <v>342</v>
      </c>
      <c r="G12" s="81" t="s">
        <v>343</v>
      </c>
      <c r="H12" s="81" t="s">
        <v>344</v>
      </c>
      <c r="I12" s="81" t="s">
        <v>345</v>
      </c>
      <c r="J12" s="81" t="s">
        <v>210</v>
      </c>
      <c r="K12" s="81" t="s">
        <v>308</v>
      </c>
      <c r="L12" s="81" t="s">
        <v>346</v>
      </c>
      <c r="M12" s="81" t="s">
        <v>347</v>
      </c>
      <c r="N12" s="81" t="s">
        <v>348</v>
      </c>
    </row>
    <row r="13" spans="1:14" ht="115.5" x14ac:dyDescent="0.35">
      <c r="A13" s="82" t="s">
        <v>285</v>
      </c>
      <c r="B13" s="82" t="s">
        <v>286</v>
      </c>
      <c r="C13" s="83" t="s">
        <v>37</v>
      </c>
      <c r="D13" s="82" t="s">
        <v>238</v>
      </c>
      <c r="E13" s="82" t="s">
        <v>287</v>
      </c>
      <c r="F13" s="82" t="s">
        <v>350</v>
      </c>
      <c r="G13" s="82" t="s">
        <v>351</v>
      </c>
      <c r="H13" s="82" t="s">
        <v>352</v>
      </c>
      <c r="I13" s="82" t="s">
        <v>353</v>
      </c>
      <c r="J13" s="82" t="s">
        <v>354</v>
      </c>
      <c r="K13" s="82" t="s">
        <v>355</v>
      </c>
      <c r="L13" s="82" t="s">
        <v>393</v>
      </c>
      <c r="M13" s="82" t="s">
        <v>394</v>
      </c>
      <c r="N13" s="82" t="s">
        <v>349</v>
      </c>
    </row>
    <row r="14" spans="1:14" ht="115.5" x14ac:dyDescent="0.35">
      <c r="A14" s="82" t="s">
        <v>288</v>
      </c>
      <c r="B14" s="82" t="s">
        <v>289</v>
      </c>
      <c r="C14" s="83" t="s">
        <v>37</v>
      </c>
      <c r="D14" s="82" t="s">
        <v>63</v>
      </c>
      <c r="E14" s="82" t="s">
        <v>287</v>
      </c>
      <c r="F14" s="82" t="s">
        <v>356</v>
      </c>
      <c r="G14" s="82" t="s">
        <v>357</v>
      </c>
      <c r="H14" s="82" t="s">
        <v>358</v>
      </c>
      <c r="I14" s="82" t="s">
        <v>360</v>
      </c>
      <c r="J14" s="82" t="s">
        <v>361</v>
      </c>
      <c r="K14" s="82" t="s">
        <v>362</v>
      </c>
      <c r="L14" s="82" t="s">
        <v>391</v>
      </c>
      <c r="M14" s="82" t="s">
        <v>392</v>
      </c>
      <c r="N14" s="82" t="s">
        <v>349</v>
      </c>
    </row>
    <row r="15" spans="1:14" ht="115.5" x14ac:dyDescent="0.35">
      <c r="A15" s="82" t="s">
        <v>290</v>
      </c>
      <c r="B15" s="82" t="s">
        <v>291</v>
      </c>
      <c r="C15" s="83" t="s">
        <v>37</v>
      </c>
      <c r="D15" s="82" t="s">
        <v>248</v>
      </c>
      <c r="E15" s="82" t="s">
        <v>287</v>
      </c>
      <c r="F15" s="82" t="s">
        <v>292</v>
      </c>
      <c r="G15" s="82" t="s">
        <v>359</v>
      </c>
      <c r="H15" s="82" t="s">
        <v>358</v>
      </c>
      <c r="I15" s="82" t="s">
        <v>363</v>
      </c>
      <c r="J15" s="82" t="s">
        <v>364</v>
      </c>
      <c r="K15" s="82" t="s">
        <v>293</v>
      </c>
      <c r="L15" s="82" t="s">
        <v>389</v>
      </c>
      <c r="M15" s="82" t="s">
        <v>390</v>
      </c>
      <c r="N15" s="82" t="s">
        <v>349</v>
      </c>
    </row>
    <row r="16" spans="1:14" ht="115.5" x14ac:dyDescent="0.35">
      <c r="A16" s="82" t="s">
        <v>294</v>
      </c>
      <c r="B16" s="82" t="s">
        <v>295</v>
      </c>
      <c r="C16" s="83" t="s">
        <v>37</v>
      </c>
      <c r="D16" s="82" t="s">
        <v>248</v>
      </c>
      <c r="E16" s="82" t="s">
        <v>211</v>
      </c>
      <c r="F16" s="82" t="s">
        <v>365</v>
      </c>
      <c r="G16" s="82" t="s">
        <v>366</v>
      </c>
      <c r="H16" s="82" t="s">
        <v>367</v>
      </c>
      <c r="I16" s="82" t="s">
        <v>368</v>
      </c>
      <c r="J16" s="82" t="s">
        <v>369</v>
      </c>
      <c r="K16" s="82" t="s">
        <v>370</v>
      </c>
      <c r="L16" s="82" t="s">
        <v>387</v>
      </c>
      <c r="M16" s="82" t="s">
        <v>388</v>
      </c>
      <c r="N16" s="82" t="s">
        <v>349</v>
      </c>
    </row>
    <row r="17" spans="1:14" ht="132" x14ac:dyDescent="0.35">
      <c r="A17" s="82" t="s">
        <v>296</v>
      </c>
      <c r="B17" s="82" t="s">
        <v>297</v>
      </c>
      <c r="C17" s="84" t="s">
        <v>39</v>
      </c>
      <c r="D17" s="82" t="s">
        <v>63</v>
      </c>
      <c r="E17" s="82" t="s">
        <v>298</v>
      </c>
      <c r="F17" s="82" t="s">
        <v>371</v>
      </c>
      <c r="G17" s="82" t="s">
        <v>372</v>
      </c>
      <c r="H17" s="82" t="s">
        <v>373</v>
      </c>
      <c r="I17" s="82" t="s">
        <v>374</v>
      </c>
      <c r="J17" s="82" t="s">
        <v>375</v>
      </c>
      <c r="K17" s="82" t="s">
        <v>376</v>
      </c>
      <c r="L17" s="82" t="s">
        <v>385</v>
      </c>
      <c r="M17" s="82" t="s">
        <v>386</v>
      </c>
      <c r="N17" s="82" t="s">
        <v>349</v>
      </c>
    </row>
    <row r="18" spans="1:14" ht="115.5" x14ac:dyDescent="0.35">
      <c r="A18" s="82" t="s">
        <v>299</v>
      </c>
      <c r="B18" s="82" t="s">
        <v>300</v>
      </c>
      <c r="C18" s="84" t="s">
        <v>39</v>
      </c>
      <c r="D18" s="82" t="s">
        <v>248</v>
      </c>
      <c r="E18" s="82" t="s">
        <v>298</v>
      </c>
      <c r="F18" s="82" t="s">
        <v>377</v>
      </c>
      <c r="G18" s="82" t="s">
        <v>378</v>
      </c>
      <c r="H18" s="82" t="s">
        <v>379</v>
      </c>
      <c r="I18" s="82" t="s">
        <v>380</v>
      </c>
      <c r="J18" s="82" t="s">
        <v>381</v>
      </c>
      <c r="K18" s="82" t="s">
        <v>382</v>
      </c>
      <c r="L18" s="82" t="s">
        <v>383</v>
      </c>
      <c r="M18" s="82" t="s">
        <v>384</v>
      </c>
      <c r="N18" s="82" t="s">
        <v>349</v>
      </c>
    </row>
    <row r="19" spans="1:14" x14ac:dyDescent="0.35">
      <c r="A19" s="85"/>
      <c r="B19" s="76"/>
      <c r="C19" s="85"/>
      <c r="D19" s="76"/>
      <c r="E19" s="76"/>
    </row>
    <row r="20" spans="1:14" x14ac:dyDescent="0.35">
      <c r="A20" s="85"/>
      <c r="B20" s="76"/>
      <c r="C20" s="85"/>
      <c r="D20" s="76"/>
      <c r="E20" s="76"/>
    </row>
    <row r="21" spans="1:14" x14ac:dyDescent="0.35">
      <c r="A21" s="85"/>
      <c r="B21" s="76"/>
      <c r="C21" s="85"/>
      <c r="D21" s="76"/>
      <c r="E21" s="76"/>
    </row>
    <row r="22" spans="1:14" x14ac:dyDescent="0.35">
      <c r="A22" s="85"/>
      <c r="B22" s="76"/>
      <c r="C22" s="85"/>
      <c r="D22" s="76"/>
      <c r="E22" s="76"/>
    </row>
    <row r="23" spans="1:14" x14ac:dyDescent="0.35">
      <c r="A23" s="85"/>
      <c r="B23" s="76"/>
      <c r="C23" s="85"/>
      <c r="D23" s="76"/>
      <c r="E23" s="76"/>
    </row>
    <row r="24" spans="1:14" x14ac:dyDescent="0.35">
      <c r="A24" s="85"/>
      <c r="B24" s="76"/>
      <c r="C24" s="85"/>
      <c r="D24" s="76"/>
      <c r="E24" s="76"/>
    </row>
    <row r="25" spans="1:14" x14ac:dyDescent="0.35">
      <c r="A25" s="85"/>
      <c r="B25" s="76"/>
      <c r="C25" s="85"/>
      <c r="D25" s="76"/>
      <c r="E25" s="76"/>
    </row>
    <row r="26" spans="1:14" x14ac:dyDescent="0.35">
      <c r="A26" s="85"/>
      <c r="B26" s="76"/>
      <c r="C26" s="85"/>
      <c r="D26" s="76"/>
      <c r="E26" s="76"/>
    </row>
    <row r="27" spans="1:14" x14ac:dyDescent="0.35">
      <c r="A27" s="85"/>
      <c r="B27" s="76"/>
      <c r="C27" s="85"/>
      <c r="D27" s="76"/>
      <c r="E27" s="76"/>
    </row>
    <row r="28" spans="1:14" x14ac:dyDescent="0.35">
      <c r="A28" s="85"/>
      <c r="B28" s="76"/>
      <c r="C28" s="85"/>
      <c r="D28" s="76"/>
      <c r="E28" s="76"/>
    </row>
    <row r="29" spans="1:14" x14ac:dyDescent="0.35">
      <c r="A29" s="85"/>
      <c r="B29" s="76"/>
      <c r="C29" s="85"/>
      <c r="D29" s="76"/>
      <c r="E29" s="76"/>
    </row>
    <row r="30" spans="1:14" x14ac:dyDescent="0.35">
      <c r="A30" s="85"/>
      <c r="B30" s="76"/>
      <c r="C30" s="85"/>
      <c r="D30" s="76"/>
      <c r="E30" s="76"/>
    </row>
    <row r="31" spans="1:14" x14ac:dyDescent="0.35">
      <c r="A31" s="85"/>
      <c r="B31" s="76"/>
      <c r="C31" s="85"/>
      <c r="D31" s="76"/>
      <c r="E31" s="76"/>
    </row>
    <row r="32" spans="1:14" x14ac:dyDescent="0.35">
      <c r="A32" s="85"/>
      <c r="B32" s="76"/>
      <c r="C32" s="85"/>
      <c r="D32" s="76"/>
      <c r="E32" s="76"/>
    </row>
    <row r="33" spans="1:5" x14ac:dyDescent="0.35">
      <c r="A33" s="85"/>
      <c r="B33" s="76"/>
      <c r="C33" s="85"/>
      <c r="D33" s="76"/>
      <c r="E33" s="76"/>
    </row>
    <row r="34" spans="1:5" x14ac:dyDescent="0.35">
      <c r="A34" s="85"/>
      <c r="B34" s="76"/>
      <c r="C34" s="85"/>
      <c r="D34" s="76"/>
      <c r="E34" s="76"/>
    </row>
    <row r="35" spans="1:5" x14ac:dyDescent="0.35">
      <c r="A35" s="85"/>
      <c r="B35" s="76"/>
      <c r="C35" s="85"/>
      <c r="D35" s="76"/>
      <c r="E35" s="76"/>
    </row>
    <row r="36" spans="1:5" x14ac:dyDescent="0.35">
      <c r="A36" s="85"/>
      <c r="B36" s="76"/>
      <c r="C36" s="85"/>
      <c r="D36" s="76"/>
      <c r="E36" s="76"/>
    </row>
    <row r="37" spans="1:5" x14ac:dyDescent="0.35">
      <c r="A37" s="85"/>
      <c r="B37" s="76"/>
      <c r="C37" s="85"/>
      <c r="D37" s="76"/>
      <c r="E37" s="76"/>
    </row>
    <row r="38" spans="1:5" x14ac:dyDescent="0.35">
      <c r="A38" s="85"/>
      <c r="B38" s="76"/>
      <c r="C38" s="85"/>
      <c r="D38" s="76"/>
      <c r="E38" s="76"/>
    </row>
    <row r="39" spans="1:5" x14ac:dyDescent="0.35">
      <c r="A39" s="85"/>
      <c r="B39" s="76"/>
      <c r="C39" s="85"/>
      <c r="D39" s="76"/>
      <c r="E39" s="76"/>
    </row>
    <row r="40" spans="1:5" x14ac:dyDescent="0.35">
      <c r="A40" s="85"/>
      <c r="B40" s="76"/>
      <c r="C40" s="85"/>
      <c r="D40" s="76"/>
      <c r="E40" s="76"/>
    </row>
    <row r="41" spans="1:5" x14ac:dyDescent="0.35">
      <c r="A41" s="85"/>
      <c r="B41" s="76"/>
      <c r="C41" s="85"/>
      <c r="D41" s="76"/>
      <c r="E41" s="76"/>
    </row>
    <row r="42" spans="1:5" x14ac:dyDescent="0.35">
      <c r="A42" s="85"/>
      <c r="B42" s="76"/>
      <c r="C42" s="85"/>
      <c r="D42" s="76"/>
      <c r="E42" s="76"/>
    </row>
    <row r="43" spans="1:5" x14ac:dyDescent="0.35">
      <c r="A43" s="85"/>
      <c r="B43" s="76"/>
      <c r="C43" s="85"/>
      <c r="D43" s="76"/>
      <c r="E43" s="76"/>
    </row>
    <row r="44" spans="1:5" x14ac:dyDescent="0.35">
      <c r="A44" s="85"/>
      <c r="B44" s="76"/>
      <c r="C44" s="85"/>
      <c r="D44" s="76"/>
      <c r="E44" s="76"/>
    </row>
    <row r="45" spans="1:5" x14ac:dyDescent="0.35">
      <c r="A45" s="85"/>
      <c r="B45" s="76"/>
      <c r="C45" s="85"/>
      <c r="D45" s="76"/>
      <c r="E45" s="76"/>
    </row>
    <row r="46" spans="1:5" x14ac:dyDescent="0.35">
      <c r="A46" s="85"/>
      <c r="B46" s="76"/>
      <c r="C46" s="85"/>
      <c r="D46" s="76"/>
      <c r="E46" s="76"/>
    </row>
    <row r="47" spans="1:5" x14ac:dyDescent="0.35">
      <c r="A47" s="85"/>
      <c r="B47" s="76"/>
      <c r="C47" s="85"/>
      <c r="D47" s="76"/>
      <c r="E47" s="76"/>
    </row>
    <row r="48" spans="1:5" x14ac:dyDescent="0.35">
      <c r="A48" s="85"/>
      <c r="B48" s="76"/>
      <c r="C48" s="85"/>
      <c r="D48" s="76"/>
      <c r="E48" s="76"/>
    </row>
    <row r="49" spans="1:5" x14ac:dyDescent="0.35">
      <c r="A49" s="85"/>
      <c r="B49" s="76"/>
      <c r="C49" s="85"/>
      <c r="D49" s="76"/>
      <c r="E49" s="76"/>
    </row>
  </sheetData>
  <mergeCells count="1">
    <mergeCell ref="A11:N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Tổng quan</vt:lpstr>
      <vt:lpstr>Phương pháp kiểm thử</vt:lpstr>
      <vt:lpstr>Bảng quyết định</vt:lpstr>
      <vt:lpstr>Test case</vt:lpstr>
      <vt:lpstr>Báo cáo lỗi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Anh Lê Trí</dc:creator>
  <cp:lastModifiedBy>Anh Lê Trí</cp:lastModifiedBy>
  <dcterms:created xsi:type="dcterms:W3CDTF">2026-02-01T14:08:26Z</dcterms:created>
  <dcterms:modified xsi:type="dcterms:W3CDTF">2026-02-02T20:13:24Z</dcterms:modified>
</cp:coreProperties>
</file>